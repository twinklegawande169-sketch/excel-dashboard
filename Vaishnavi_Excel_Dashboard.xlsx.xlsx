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VAISHNAVI\Dropbox\PC\Downloads\"/>
    </mc:Choice>
  </mc:AlternateContent>
  <xr:revisionPtr revIDLastSave="0" documentId="8_{25C47D71-C42B-4318-9EC4-ED6492F6D841}" xr6:coauthVersionLast="47" xr6:coauthVersionMax="47" xr10:uidLastSave="{00000000-0000-0000-0000-000000000000}"/>
  <bookViews>
    <workbookView xWindow="-108" yWindow="-108" windowWidth="23256" windowHeight="12456" xr2:uid="{00000000-000D-0000-FFFF-FFFF00000000}"/>
  </bookViews>
  <sheets>
    <sheet name="Read Me" sheetId="1" r:id="rId1"/>
    <sheet name="README.md" sheetId="8" r:id="rId2"/>
    <sheet name="Retail Data" sheetId="2" r:id="rId3"/>
    <sheet name="Dashboard" sheetId="6" r:id="rId4"/>
    <sheet name="PivotTables" sheetId="3" r:id="rId5"/>
  </sheets>
  <definedNames>
    <definedName name="Slicer_Category">#N/A</definedName>
    <definedName name="Slicer_Region">#N/A</definedName>
  </definedNames>
  <calcPr calcId="191029"/>
  <pivotCaches>
    <pivotCache cacheId="13"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E5" i="6" l="1"/>
  <c r="I5" i="6"/>
  <c r="A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Vaishnavi Gawande</author>
  </authors>
  <commentList>
    <comment ref="A1" authorId="0" shapeId="0" xr:uid="{8E83AFAF-2161-44CB-BC7B-AD8379B80BB7}">
      <text>
        <r>
          <rPr>
            <b/>
            <sz val="12"/>
            <color indexed="81"/>
            <rFont val="Tahoma"/>
            <family val="2"/>
          </rPr>
          <t>Vaishnavi Gawande:</t>
        </r>
        <r>
          <rPr>
            <sz val="12"/>
            <color indexed="81"/>
            <rFont val="Tahoma"/>
            <family val="2"/>
          </rPr>
          <t xml:space="preserve">
</t>
        </r>
      </text>
    </comment>
  </commentList>
</comments>
</file>

<file path=xl/sharedStrings.xml><?xml version="1.0" encoding="utf-8"?>
<sst xmlns="http://schemas.openxmlformats.org/spreadsheetml/2006/main" count="4579" uniqueCount="828">
  <si>
    <t>Retail Sales Dashboard Dataset</t>
  </si>
  <si>
    <t>Synthetic sample data for Excel dashboard practice</t>
  </si>
  <si>
    <t>Item</t>
  </si>
  <si>
    <t>Details</t>
  </si>
  <si>
    <t>Source</t>
  </si>
  <si>
    <t>Synthetic retail sales data generated for training. It contains no real customer or company information.</t>
  </si>
  <si>
    <t>Records</t>
  </si>
  <si>
    <t>750 sales orders from 2025-01-01 through 2026-08-31.</t>
  </si>
  <si>
    <t>Recommended questions</t>
  </si>
  <si>
    <t>Sales and profit by category; monthly sales trend; top products; regional performance.</t>
  </si>
  <si>
    <t>How to start</t>
  </si>
  <si>
    <t>Open Retail Data, click any cell, then press Ctrl + T only if your Excel version does not retain the table.</t>
  </si>
  <si>
    <t>Suggested filters</t>
  </si>
  <si>
    <t>Region, Category, and Order Date (Timeline).</t>
  </si>
  <si>
    <t>Order ID</t>
  </si>
  <si>
    <t>Order Date</t>
  </si>
  <si>
    <t>Region</t>
  </si>
  <si>
    <t>Category</t>
  </si>
  <si>
    <t>Product</t>
  </si>
  <si>
    <t>Customer</t>
  </si>
  <si>
    <t>Quantity</t>
  </si>
  <si>
    <t>Unit Price</t>
  </si>
  <si>
    <t>Sales</t>
  </si>
  <si>
    <t>Cost</t>
  </si>
  <si>
    <t>Profit</t>
  </si>
  <si>
    <t>Year</t>
  </si>
  <si>
    <t>Month</t>
  </si>
  <si>
    <t>ORD-0001</t>
  </si>
  <si>
    <t>South</t>
  </si>
  <si>
    <t>Office Supplies</t>
  </si>
  <si>
    <t>Binders</t>
  </si>
  <si>
    <t>Evergreen Mart</t>
  </si>
  <si>
    <t>Dec</t>
  </si>
  <si>
    <t>ORD-0002</t>
  </si>
  <si>
    <t>West</t>
  </si>
  <si>
    <t>Storage Box</t>
  </si>
  <si>
    <t>Jan</t>
  </si>
  <si>
    <t>ORD-0003</t>
  </si>
  <si>
    <t>Technology</t>
  </si>
  <si>
    <t>Keyboard</t>
  </si>
  <si>
    <t>Crescent Stores</t>
  </si>
  <si>
    <t>Nov</t>
  </si>
  <si>
    <t>ORD-0004</t>
  </si>
  <si>
    <t>Furniture</t>
  </si>
  <si>
    <t>Desk</t>
  </si>
  <si>
    <t>Blue Sky Retail</t>
  </si>
  <si>
    <t>Apr</t>
  </si>
  <si>
    <t>ORD-0005</t>
  </si>
  <si>
    <t>Printer</t>
  </si>
  <si>
    <t>Greenfield Co.</t>
  </si>
  <si>
    <t>May</t>
  </si>
  <si>
    <t>ORD-0006</t>
  </si>
  <si>
    <t>North</t>
  </si>
  <si>
    <t>Harbor Sales</t>
  </si>
  <si>
    <t>Jun</t>
  </si>
  <si>
    <t>ORD-0007</t>
  </si>
  <si>
    <t>East</t>
  </si>
  <si>
    <t>Table</t>
  </si>
  <si>
    <t>Oct</t>
  </si>
  <si>
    <t>ORD-0008</t>
  </si>
  <si>
    <t>ORD-0009</t>
  </si>
  <si>
    <t>Laptop</t>
  </si>
  <si>
    <t>Aug</t>
  </si>
  <si>
    <t>ORD-0010</t>
  </si>
  <si>
    <t>ORD-0011</t>
  </si>
  <si>
    <t>Chair</t>
  </si>
  <si>
    <t>Aarav Traders</t>
  </si>
  <si>
    <t>ORD-0012</t>
  </si>
  <si>
    <t>ORD-0013</t>
  </si>
  <si>
    <t>Jul</t>
  </si>
  <si>
    <t>ORD-0014</t>
  </si>
  <si>
    <t>ORD-0015</t>
  </si>
  <si>
    <t>ORD-0016</t>
  </si>
  <si>
    <t>ORD-0017</t>
  </si>
  <si>
    <t>Dawn Enterprises</t>
  </si>
  <si>
    <t>ORD-0018</t>
  </si>
  <si>
    <t>Pens</t>
  </si>
  <si>
    <t>Mar</t>
  </si>
  <si>
    <t>ORD-0019</t>
  </si>
  <si>
    <t>ORD-0020</t>
  </si>
  <si>
    <t>ORD-0021</t>
  </si>
  <si>
    <t>ORD-0022</t>
  </si>
  <si>
    <t>ORD-0023</t>
  </si>
  <si>
    <t>Feb</t>
  </si>
  <si>
    <t>ORD-0024</t>
  </si>
  <si>
    <t>Futura Works</t>
  </si>
  <si>
    <t>ORD-0025</t>
  </si>
  <si>
    <t>ORD-0026</t>
  </si>
  <si>
    <t>ORD-0027</t>
  </si>
  <si>
    <t>ORD-0028</t>
  </si>
  <si>
    <t>ORD-0029</t>
  </si>
  <si>
    <t>ORD-0030</t>
  </si>
  <si>
    <t>ORD-0031</t>
  </si>
  <si>
    <t>ORD-0032</t>
  </si>
  <si>
    <t>Bookcase</t>
  </si>
  <si>
    <t>ORD-0033</t>
  </si>
  <si>
    <t>ORD-0034</t>
  </si>
  <si>
    <t>ORD-0035</t>
  </si>
  <si>
    <t>Sep</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</si>
  <si>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</si>
  <si>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</si>
  <si>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</si>
  <si>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</si>
  <si>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</si>
  <si>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</si>
  <si>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</si>
  <si>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</si>
  <si>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</si>
  <si>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</si>
  <si>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</si>
  <si>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</si>
  <si>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</si>
  <si>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</si>
  <si>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</si>
  <si>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</si>
  <si>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</si>
  <si>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Paper</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</si>
  <si>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</si>
  <si>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</si>
  <si>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</si>
  <si>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</si>
  <si>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</si>
  <si>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</si>
  <si>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</si>
  <si>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</si>
  <si>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</si>
  <si>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</si>
  <si>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</si>
  <si>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</si>
  <si>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</si>
  <si>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</si>
  <si>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</si>
  <si>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</si>
  <si>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</si>
  <si>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Monitor</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</si>
  <si>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</si>
  <si>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</si>
  <si>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</si>
  <si>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</si>
  <si>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</si>
  <si>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</si>
  <si>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</si>
  <si>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</si>
  <si>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</si>
  <si>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</si>
  <si>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</si>
  <si>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</si>
  <si>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</si>
  <si>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</si>
  <si>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</si>
  <si>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</si>
  <si>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</si>
  <si>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</si>
  <si>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</si>
  <si>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</si>
  <si>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</si>
  <si>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</si>
  <si>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</si>
  <si>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</si>
  <si>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</si>
  <si>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</si>
  <si>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</si>
  <si>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</si>
  <si>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</si>
  <si>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</si>
  <si>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</si>
  <si>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</si>
  <si>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</si>
  <si>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</si>
  <si>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</si>
  <si>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</si>
  <si>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</si>
  <si>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</si>
  <si>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</si>
  <si>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</si>
  <si>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</si>
  <si>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</si>
  <si>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</si>
  <si>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</si>
  <si>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</si>
  <si>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</si>
  <si>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</si>
  <si>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</si>
  <si>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</si>
  <si>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</si>
  <si>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</si>
  <si>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</si>
  <si>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</si>
  <si>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</si>
  <si>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</si>
  <si>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</si>
  <si>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</si>
  <si>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</si>
  <si>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</si>
  <si>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</si>
  <si>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</si>
  <si>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</si>
  <si>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</si>
  <si>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</si>
  <si>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</si>
  <si>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</si>
  <si>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</si>
  <si>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</si>
  <si>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</si>
  <si>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</si>
  <si>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</si>
  <si>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</si>
  <si>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</si>
  <si>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</si>
  <si>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</si>
  <si>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</si>
  <si>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</si>
  <si>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</si>
  <si>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</si>
  <si>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</si>
  <si>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</si>
  <si>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</si>
  <si>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</si>
  <si>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</si>
  <si>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</si>
  <si>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</si>
  <si>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</si>
  <si>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</si>
  <si>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</si>
  <si>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</si>
  <si>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</si>
  <si>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</si>
  <si>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</si>
  <si>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</si>
  <si>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</si>
  <si>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</si>
  <si>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</si>
  <si>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</si>
  <si>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</si>
  <si>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</si>
  <si>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</si>
  <si>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</si>
  <si>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</si>
  <si>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</si>
  <si>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</si>
  <si>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</si>
  <si>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</si>
  <si>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</si>
  <si>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</si>
  <si>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</si>
  <si>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</si>
  <si>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</si>
  <si>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</si>
  <si>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</si>
  <si>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</si>
  <si>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</si>
  <si>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</si>
  <si>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</si>
  <si>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</si>
  <si>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</si>
  <si>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</si>
  <si>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</si>
  <si>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</si>
  <si>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</si>
  <si>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</si>
  <si>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</si>
  <si>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</si>
  <si>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</si>
  <si>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</si>
  <si>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</si>
  <si>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</si>
  <si>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</si>
  <si>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</si>
  <si>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</si>
  <si>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</si>
  <si>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</si>
  <si>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</si>
  <si>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</si>
  <si>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</si>
  <si>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</si>
  <si>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</si>
  <si>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</si>
  <si>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</si>
  <si>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</si>
  <si>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</si>
  <si>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</si>
  <si>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</si>
  <si>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</si>
  <si>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</si>
  <si>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</si>
  <si>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</si>
  <si>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</si>
  <si>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</si>
  <si>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</si>
  <si>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</si>
  <si>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</si>
  <si>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</si>
  <si>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</si>
  <si>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</si>
  <si>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</si>
  <si>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</si>
  <si>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</si>
  <si>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</si>
  <si>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</si>
  <si>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</si>
  <si>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</si>
  <si>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</si>
  <si>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</si>
  <si>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</si>
  <si>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</si>
  <si>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</si>
  <si>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</si>
  <si>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</si>
  <si>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</si>
  <si>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</si>
  <si>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</si>
  <si>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</si>
  <si>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</si>
  <si>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</si>
  <si>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</si>
  <si>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</si>
  <si>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</si>
  <si>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</si>
  <si>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</si>
  <si>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</si>
  <si>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</si>
  <si>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</si>
  <si>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</si>
  <si>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</si>
  <si>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</si>
  <si>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</si>
  <si>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</si>
  <si>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</si>
  <si>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</si>
  <si>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</si>
  <si>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</si>
  <si>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</si>
  <si>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</si>
  <si>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</si>
  <si>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</si>
  <si>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</si>
  <si>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</si>
  <si>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</si>
  <si>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</si>
  <si>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</si>
  <si>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</si>
  <si>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</si>
  <si>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</si>
  <si>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</si>
  <si>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</si>
  <si>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</si>
  <si>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</si>
  <si>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</si>
  <si>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</si>
  <si>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</si>
  <si>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</si>
  <si>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</si>
  <si>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</si>
  <si>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</si>
  <si>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</si>
  <si>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</si>
  <si>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</si>
  <si>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</si>
  <si>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</si>
  <si>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</si>
  <si>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</si>
  <si>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</si>
  <si>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</si>
  <si>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</si>
  <si>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</si>
  <si>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</si>
  <si>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</si>
  <si>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</si>
  <si>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</si>
  <si>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</si>
  <si>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</si>
  <si>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</si>
  <si>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</si>
  <si>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</si>
  <si>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</si>
  <si>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</si>
  <si>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</si>
  <si>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</si>
  <si>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</si>
  <si>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</si>
  <si>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</si>
  <si>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</si>
  <si>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</si>
  <si>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</si>
  <si>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</si>
  <si>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</si>
  <si>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</si>
  <si>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</si>
  <si>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</si>
  <si>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</si>
  <si>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</si>
  <si>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</si>
  <si>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</si>
  <si>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</si>
  <si>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</si>
  <si>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</si>
  <si>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</si>
  <si>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</si>
  <si>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</si>
  <si>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</si>
  <si>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</si>
  <si>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</si>
  <si>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</si>
  <si>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</si>
  <si>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</si>
  <si>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</si>
  <si>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</si>
  <si>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</si>
  <si>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</si>
  <si>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</si>
  <si>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</si>
  <si>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</si>
  <si>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</si>
  <si>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</si>
  <si>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</si>
  <si>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</si>
  <si>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</si>
  <si>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</si>
  <si>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</si>
  <si>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</si>
  <si>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</si>
  <si>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</si>
  <si>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</si>
  <si>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</si>
  <si>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</si>
  <si>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</si>
  <si>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</si>
  <si>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</si>
  <si>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</si>
  <si>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</si>
  <si>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</si>
  <si>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</si>
  <si>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</si>
  <si>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</si>
  <si>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</si>
  <si>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</si>
  <si>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</si>
  <si>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</si>
  <si>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</si>
  <si>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</si>
  <si>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</si>
  <si>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</si>
  <si>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</si>
  <si>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</si>
  <si>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</si>
  <si>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</si>
  <si>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</si>
  <si>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</si>
  <si>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</si>
  <si>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</si>
  <si>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</si>
  <si>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</si>
  <si>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</si>
  <si>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</si>
  <si>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</si>
  <si>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</si>
  <si>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</si>
  <si>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</si>
  <si>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</si>
  <si>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</si>
  <si>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</si>
  <si>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</si>
  <si>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</si>
  <si>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</si>
  <si>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</si>
  <si>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</si>
  <si>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</si>
  <si>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</si>
  <si>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</si>
  <si>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</si>
  <si>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</si>
  <si>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</si>
  <si>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</si>
  <si>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</si>
  <si>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</si>
  <si>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</si>
  <si>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</si>
  <si>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</si>
  <si>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</si>
  <si>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</si>
  <si>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</si>
  <si>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</si>
  <si>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</si>
  <si>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</si>
  <si>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</si>
  <si>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</si>
  <si>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</si>
  <si>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</si>
  <si>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</si>
  <si>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</si>
  <si>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</si>
  <si>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</si>
  <si>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</si>
  <si>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</si>
  <si>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</si>
  <si>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</si>
  <si>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</si>
  <si>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</si>
  <si>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</si>
  <si>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</si>
  <si>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</si>
  <si>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</si>
  <si>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</si>
  <si>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</si>
  <si>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</si>
  <si>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</si>
  <si>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</si>
  <si>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</si>
  <si>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</si>
  <si>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</si>
  <si>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</si>
  <si>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</si>
  <si>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</si>
  <si>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</si>
  <si>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</si>
  <si>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</si>
  <si>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</si>
  <si>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</si>
  <si>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</si>
  <si>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</si>
  <si>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</si>
  <si>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</si>
  <si>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</si>
  <si>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</si>
  <si>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</si>
  <si>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</si>
  <si>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</si>
  <si>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</si>
  <si>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</si>
  <si>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</si>
  <si>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</si>
  <si>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</si>
  <si>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</si>
  <si>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</si>
  <si>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</si>
  <si>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</si>
  <si>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</si>
  <si>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</si>
  <si>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</si>
  <si>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</si>
  <si>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</si>
  <si>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</si>
  <si>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</si>
  <si>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</si>
  <si>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</si>
  <si>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</si>
  <si>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</si>
  <si>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</si>
  <si>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</si>
  <si>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</si>
  <si>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</si>
  <si>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</si>
  <si>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</si>
  <si>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</si>
  <si>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</si>
  <si>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</si>
  <si>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</si>
  <si>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</si>
  <si>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</si>
  <si>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</si>
  <si>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</si>
  <si>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</si>
  <si>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</si>
  <si>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</si>
  <si>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</si>
  <si>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</si>
  <si>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</si>
  <si>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</si>
  <si>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</si>
  <si>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</si>
  <si>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</si>
  <si>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</si>
  <si>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</si>
  <si>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</si>
  <si>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</si>
  <si>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</si>
  <si>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</si>
  <si>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</si>
  <si>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</si>
  <si>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</si>
  <si>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</si>
  <si>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</si>
  <si>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</si>
  <si>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</si>
  <si>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</si>
  <si>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</si>
  <si>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</si>
  <si>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</si>
  <si>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</si>
  <si>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</si>
  <si>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</si>
  <si>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</si>
  <si>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</si>
  <si>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</si>
  <si>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</si>
  <si>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</si>
  <si>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</si>
  <si>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</si>
  <si>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</si>
  <si>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</si>
  <si>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</si>
  <si>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</si>
  <si>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</si>
  <si>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</si>
  <si>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</si>
  <si>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</si>
  <si>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</si>
  <si>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</si>
  <si>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</si>
  <si>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</si>
  <si>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</si>
  <si>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</si>
  <si>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</si>
  <si>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</si>
  <si>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</si>
  <si>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</si>
  <si>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</si>
  <si>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</si>
  <si>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</si>
  <si>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</si>
  <si>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</si>
  <si>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</si>
  <si>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</si>
  <si>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</si>
  <si>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</si>
  <si>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</si>
  <si>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</si>
  <si>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</si>
  <si>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</si>
  <si>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</si>
  <si>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</si>
  <si>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</si>
  <si>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</si>
  <si>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</si>
  <si>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</si>
  <si>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</si>
  <si>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</si>
  <si>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</si>
  <si>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</si>
  <si>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</si>
  <si>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</si>
  <si>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</si>
  <si>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</si>
  <si>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</si>
  <si>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</si>
  <si>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</si>
  <si>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</si>
  <si>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</si>
  <si>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</si>
  <si>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</si>
  <si>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</si>
  <si>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</si>
  <si>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</si>
  <si>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</si>
  <si>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</si>
  <si>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</si>
  <si>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</si>
  <si>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</si>
  <si>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</si>
  <si>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</si>
  <si>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</si>
  <si>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</si>
  <si>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</si>
  <si>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</si>
  <si>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</si>
  <si>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</si>
  <si>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</si>
  <si>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</si>
  <si>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</si>
  <si>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</si>
  <si>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</si>
  <si>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</si>
  <si>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</si>
  <si>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</si>
  <si>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</si>
  <si>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</si>
  <si>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</si>
  <si>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</si>
  <si>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</si>
  <si>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</si>
  <si>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</si>
  <si>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</si>
  <si>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</si>
  <si>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</si>
  <si>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</si>
  <si>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</si>
  <si>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</si>
  <si>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</si>
  <si>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</si>
  <si>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</si>
  <si>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</si>
  <si>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</si>
  <si>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</si>
  <si>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</si>
  <si>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</si>
  <si>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</si>
  <si>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</si>
  <si>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</si>
  <si>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</si>
  <si>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</si>
  <si>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</si>
  <si>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</si>
  <si>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</si>
  <si>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</si>
  <si>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</si>
  <si>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</si>
  <si>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</si>
  <si>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</si>
  <si>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</si>
  <si>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</si>
  <si>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</si>
  <si>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</si>
  <si>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</si>
  <si>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</si>
  <si>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</si>
  <si>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</si>
  <si>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</si>
  <si>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</si>
  <si>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</si>
  <si>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</si>
  <si>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</si>
  <si>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</si>
  <si>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</si>
  <si>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</si>
  <si>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</si>
  <si>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</si>
  <si>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</si>
  <si>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</si>
  <si>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</si>
  <si>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</si>
  <si>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</si>
  <si>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</si>
  <si>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</si>
  <si>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</si>
  <si>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</si>
  <si>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</si>
  <si>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</si>
  <si>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</si>
  <si>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</si>
  <si>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</si>
  <si>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</si>
  <si>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</si>
  <si>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</si>
  <si>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</si>
  <si>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</si>
  <si>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</si>
  <si>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</si>
  <si>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</si>
  <si>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</si>
  <si>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</si>
  <si>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</si>
  <si>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</si>
  <si>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</si>
  <si>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</si>
  <si>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</si>
  <si>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</si>
  <si>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</si>
  <si>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</si>
  <si>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</si>
  <si>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</si>
  <si>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</si>
  <si>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</si>
  <si>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</si>
  <si>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</si>
  <si>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</si>
  <si>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</si>
  <si>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</si>
  <si>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</si>
  <si>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</si>
  <si>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</si>
  <si>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</si>
  <si>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</si>
  <si>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</si>
  <si>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</si>
  <si>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</si>
  <si>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</si>
  <si>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</si>
  <si>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</si>
  <si>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</si>
  <si>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</si>
  <si>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</si>
  <si>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</si>
  <si>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</si>
  <si>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</si>
  <si>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</si>
  <si>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</si>
  <si>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</si>
  <si>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</si>
  <si>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</si>
  <si>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</si>
  <si>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</si>
  <si>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</si>
  <si>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</si>
  <si>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</si>
  <si>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</si>
  <si>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</si>
  <si>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</si>
  <si>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</si>
  <si>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</si>
  <si>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</si>
  <si>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</si>
  <si>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</si>
  <si>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</si>
  <si>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</si>
  <si>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</si>
  <si>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</si>
  <si>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</si>
  <si>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</si>
  <si>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</si>
  <si>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</si>
  <si>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</si>
  <si>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</si>
  <si>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</si>
  <si>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</si>
  <si>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</si>
  <si>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ORD-0750</t>
  </si>
  <si>
    <t>Row Labels</t>
  </si>
  <si>
    <t>Grand Total</t>
  </si>
  <si>
    <t>Sum of Sales</t>
  </si>
  <si>
    <t>Sales by Category</t>
  </si>
  <si>
    <t>Monthly Sales Trend</t>
  </si>
  <si>
    <t>Top 10 Products by Sales</t>
  </si>
  <si>
    <t>Sum of Profit</t>
  </si>
  <si>
    <t>Sum of Quantity</t>
  </si>
  <si>
    <t>SALES PERFORMANCE DASHBOARD</t>
  </si>
  <si>
    <t>Total Sales</t>
  </si>
  <si>
    <t>Total Profit</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</si>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</sst>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yyyy\-mm\-dd"/>
    <numFmt numFmtId="165" formatCode="\$#,##0.00"/>
    <numFmt numFmtId="166" formatCode="&quot;₹&quot;\ #,##0.00"/>
  </numFmts>
  <fonts count="15">
    <font>
      <sz val="11"/>
      <name val="Carlito"/>
    </font>
    <font>
      <b/>
      <sz val="16"/>
      <color rgb="FF1F1F1F"/>
      <name val="Arial"/>
    </font>
    <font>
      <i/>
      <sz val="10"/>
      <color rgb="FF666666"/>
      <name val="Arial"/>
    </font>
    <font>
      <b/>
      <sz val="10"/>
      <color rgb="FFFFFFFF"/>
      <name val="Arial"/>
    </font>
    <font>
      <sz val="10"/>
      <name val="Arial"/>
    </font>
    <font>
      <b/>
      <sz val="10"/>
      <color rgb="FF1F1F1F"/>
      <name val="Arial"/>
    </font>
    <font>
      <sz val="10"/>
      <color rgb="FF1F1F1F"/>
      <name val="Arial"/>
    </font>
    <font>
      <sz val="11"/>
      <name val="Carlito"/>
    </font>
    <font>
      <sz val="10"/>
      <name val="Arial Unicode MS"/>
    </font>
    <font>
      <sz val="12"/>
      <color indexed="81"/>
      <name val="Tahoma"/>
      <family val="2"/>
    </font>
    <font>
      <b/>
      <sz val="12"/>
      <color indexed="81"/>
      <name val="Tahoma"/>
      <family val="2"/>
    </font>
    <font>
      <sz val="16"/>
      <color theme="0"/>
      <name val="Arial Rounded MT Bold"/>
      <family val="2"/>
    </font>
    <font>
      <b/>
      <sz val="14"/>
      <name val="Carlito"/>
    </font>
    <font>
      <b/>
      <sz val="12"/>
      <name val="Carlito"/>
    </font>
    <font>
      <sz val="16"/>
      <name val="Carlito"/>
    </font>
  </fonts>
  <fills count="4">
    <fill>
      <patternFill patternType="none"/>
    </fill>
    <fill>
      <patternFill patternType="gray125"/>
    </fill>
    <fill>
      <patternFill patternType="solid">
        <fgColor rgb="FF1F4E78"/>
      </patternFill>
    </fill>
    <fill>
      <patternFill patternType="solid">
        <fgColor theme="4"/>
        <bgColor indexed="64"/>
      </patternFill>
    </fill>
  </fills>
  <borders count="7">
    <border>
      <left/>
      <right/>
      <top/>
      <bottom/>
      <diagonal/>
    </border>
    <border>
      <left style="thin">
        <color rgb="FFD9E2F3"/>
      </left>
      <right/>
      <top style="thin">
        <color rgb="FFD9E2F3"/>
      </top>
      <bottom/>
      <diagonal/>
    </border>
    <border>
      <left/>
      <right style="thin">
        <color rgb="FFD9E2F3"/>
      </right>
      <top style="thin">
        <color rgb="FFD9E2F3"/>
      </top>
      <bottom/>
      <diagonal/>
    </border>
    <border>
      <left style="thin">
        <color rgb="FFD9E2F3"/>
      </left>
      <right/>
      <top/>
      <bottom/>
      <diagonal/>
    </border>
    <border>
      <left/>
      <right style="thin">
        <color rgb="FFD9E2F3"/>
      </right>
      <top/>
      <bottom/>
      <diagonal/>
    </border>
    <border>
      <left style="thin">
        <color rgb="FFD9E2F3"/>
      </left>
      <right/>
      <top/>
      <bottom style="thin">
        <color rgb="FFD9E2F3"/>
      </bottom>
      <diagonal/>
    </border>
    <border>
      <left/>
      <right style="thin">
        <color rgb="FFD9E2F3"/>
      </right>
      <top/>
      <bottom style="thin">
        <color rgb="FFD9E2F3"/>
      </bottom>
      <diagonal/>
    </border>
  </borders>
  <cellStyleXfs count="2">
    <xf numFmtId="0" fontId="0" fillId="0" borderId="0"/>
    <xf numFmtId="44" fontId="7" fillId="0" borderId="0" applyFont="0" applyFill="0" applyBorder="0" applyAlignment="0" applyProtection="0"/>
  </cellStyleXfs>
  <cellXfs count="29">
    <xf numFmtId="0" fontId="0" fillId="0" borderId="0" xfId="0"/>
    <xf numFmtId="0" fontId="3" fillId="2" borderId="1" xfId="0" applyFont="1" applyFill="1" applyBorder="1" applyAlignment="1">
      <alignment vertical="center"/>
    </xf>
    <xf numFmtId="0" fontId="3" fillId="2" borderId="2" xfId="0" applyFont="1" applyFill="1" applyBorder="1" applyAlignment="1">
      <alignment vertical="center"/>
    </xf>
    <xf numFmtId="0" fontId="5" fillId="0" borderId="3" xfId="0" applyFont="1" applyBorder="1" applyAlignment="1">
      <alignment vertical="center"/>
    </xf>
    <xf numFmtId="0" fontId="5" fillId="0" borderId="5" xfId="0" applyFont="1" applyBorder="1" applyAlignment="1">
      <alignment vertical="center"/>
    </xf>
    <xf numFmtId="0" fontId="4" fillId="0" borderId="4" xfId="0" applyFont="1" applyBorder="1" applyAlignment="1">
      <alignment vertical="center" wrapText="1"/>
    </xf>
    <xf numFmtId="0" fontId="4" fillId="0" borderId="6" xfId="0" applyFont="1" applyBorder="1" applyAlignment="1">
      <alignment vertical="center" wrapText="1"/>
    </xf>
    <xf numFmtId="0" fontId="3" fillId="2" borderId="0" xfId="0" applyFont="1" applyFill="1" applyAlignment="1">
      <alignment horizontal="center" vertical="center"/>
    </xf>
    <xf numFmtId="0" fontId="6" fillId="0" borderId="0" xfId="0" applyFont="1" applyAlignment="1">
      <alignment vertical="center"/>
    </xf>
    <xf numFmtId="164" fontId="6" fillId="0" borderId="0" xfId="0" applyNumberFormat="1" applyFont="1" applyAlignment="1">
      <alignment vertical="center"/>
    </xf>
    <xf numFmtId="3" fontId="6" fillId="0" borderId="0" xfId="0" applyNumberFormat="1" applyFont="1" applyAlignment="1">
      <alignment vertical="center"/>
    </xf>
    <xf numFmtId="165" fontId="6" fillId="0" borderId="0" xfId="0" applyNumberFormat="1" applyFont="1" applyAlignment="1">
      <alignment vertical="center"/>
    </xf>
    <xf numFmtId="0" fontId="1" fillId="0" borderId="0" xfId="0" applyFont="1"/>
    <xf numFmtId="0" fontId="0" fillId="0" borderId="0" xfId="0"/>
    <xf numFmtId="0" fontId="2" fillId="0" borderId="0" xfId="0" applyFon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8" fillId="0" borderId="0" xfId="0" applyFont="1"/>
    <xf numFmtId="0" fontId="0" fillId="0" borderId="0" xfId="0" applyAlignment="1">
      <alignment horizontal="left" indent="1"/>
    </xf>
    <xf numFmtId="0" fontId="8" fillId="0" borderId="0" xfId="0" applyFont="1" applyAlignment="1">
      <alignment vertical="center"/>
    </xf>
    <xf numFmtId="3" fontId="0" fillId="0" borderId="0" xfId="0" applyNumberFormat="1"/>
    <xf numFmtId="0" fontId="11" fillId="3" borderId="0" xfId="0" applyFont="1" applyFill="1" applyAlignment="1">
      <alignment horizontal="center" vertical="center"/>
    </xf>
    <xf numFmtId="0" fontId="12" fillId="0" borderId="0" xfId="0" applyFont="1"/>
    <xf numFmtId="166" fontId="13" fillId="0" borderId="0" xfId="0" applyNumberFormat="1" applyFont="1"/>
    <xf numFmtId="166" fontId="13" fillId="0" borderId="0" xfId="1" applyNumberFormat="1" applyFont="1"/>
    <xf numFmtId="2" fontId="13" fillId="0" borderId="0" xfId="0" applyNumberFormat="1" applyFont="1"/>
    <xf numFmtId="0" fontId="14" fillId="0" borderId="0" xfId="0" applyFon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[vaishnavig_dashboard_dataset _22.9.26.xlsx]PivotTables!PivotTable1</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PivotTables!$A$4:$A$7</c:f>
              <c:strCache>
                <c:ptCount val="3"/>
                <c:pt idx="0">
                  <c:v>Furniture</c:v>
                </c:pt>
                <c:pt idx="1">
                  <c:v>Office Supplies</c:v>
                </c:pt>
                <c:pt idx="2">
                  <c:v>Technology</c:v>
                </c:pt>
              </c:strCache>
            </c:strRef>
          </c:cat>
          <c:val>
            <c:numRef>
              <c:f>PivotTables!$B$4:$B$7</c:f>
              <c:numCache>
                <c:formatCode>\$#,##0.00</c:formatCode>
                <c:ptCount val="3"/>
                <c:pt idx="0">
                  <c:v>255951.66</c:v>
                </c:pt>
                <c:pt idx="1">
                  <c:v>47195.02</c:v>
                </c:pt>
                <c:pt idx="2">
                  <c:v>286399.01999999996</c:v>
                </c:pt>
              </c:numCache>
            </c:numRef>
          </c:val>
          <c:extLst>
            <c:ext xmlns:c16="http://schemas.microsoft.com/office/drawing/2014/chart" uri="{C3380CC4-5D6E-409C-BE32-E72D297353CC}">
              <c16:uniqueId val="{00000000-B10E-4962-959E-3B9A2A224637}"/>
            </c:ext>
          </c:extLst>
        </c:ser>
        <c:dLbls>
          <c:dLblPos val="outEnd"/>
          <c:showLegendKey val="0"/>
          <c:showVal val="1"/>
          <c:showCatName val="0"/>
          <c:showSerName val="0"/>
          <c:showPercent val="0"/>
          <c:showBubbleSize val="0"/>
        </c:dLbls>
        <c:gapWidth val="444"/>
        <c:overlap val="-90"/>
        <c:axId val="1635523040"/>
        <c:axId val="1635524000"/>
      </c:barChart>
      <c:catAx>
        <c:axId val="1635523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35524000"/>
        <c:crosses val="autoZero"/>
        <c:auto val="1"/>
        <c:lblAlgn val="ctr"/>
        <c:lblOffset val="100"/>
        <c:noMultiLvlLbl val="0"/>
      </c:catAx>
      <c:valAx>
        <c:axId val="1635524000"/>
        <c:scaling>
          <c:orientation val="minMax"/>
        </c:scaling>
        <c:delete val="1"/>
        <c:axPos val="l"/>
        <c:numFmt formatCode="\$#,##0.00" sourceLinked="1"/>
        <c:majorTickMark val="none"/>
        <c:minorTickMark val="none"/>
        <c:tickLblPos val="nextTo"/>
        <c:crossAx val="163552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[vaishnavig_dashboard_dataset _22.9.26.xlsx]PivotTables!PivotTable3</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PivotTables!$F$3</c:f>
              <c:strCache>
                <c:ptCount val="1"/>
                <c:pt idx="0">
                  <c:v>Total</c:v>
                </c:pt>
              </c:strCache>
            </c:strRef>
          </c:tx>
          <c:spPr>
            <a:ln w="31750" cap="rnd">
              <a:solidFill>
                <a:schemeClr val="accent1"/>
              </a:solidFill>
              <a:round/>
            </a:ln>
            <a:effectLst/>
          </c:spPr>
          <c:marker>
            <c:symbol val="circle"/>
            <c:size val="6"/>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PivotTables!$E$4:$E$26</c:f>
              <c:multiLvlStrCache>
                <c:ptCount val="2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lvl>
                <c:lvl>
                  <c:pt idx="0">
                    <c:v>2025</c:v>
                  </c:pt>
                  <c:pt idx="12">
                    <c:v>2026</c:v>
                  </c:pt>
                </c:lvl>
              </c:multiLvlStrCache>
            </c:multiLvlStrRef>
          </c:cat>
          <c:val>
            <c:numRef>
              <c:f>PivotTables!$F$4:$F$26</c:f>
              <c:numCache>
                <c:formatCode>"₹"\ #,##0.00</c:formatCode>
                <c:ptCount val="20"/>
                <c:pt idx="0">
                  <c:v>29027.989999999994</c:v>
                </c:pt>
                <c:pt idx="1">
                  <c:v>13917.779999999999</c:v>
                </c:pt>
                <c:pt idx="2">
                  <c:v>17634.689999999999</c:v>
                </c:pt>
                <c:pt idx="3">
                  <c:v>22947.05</c:v>
                </c:pt>
                <c:pt idx="4">
                  <c:v>24420.600000000006</c:v>
                </c:pt>
                <c:pt idx="5">
                  <c:v>23095.760000000002</c:v>
                </c:pt>
                <c:pt idx="6">
                  <c:v>34236.769999999997</c:v>
                </c:pt>
                <c:pt idx="7">
                  <c:v>27576.5</c:v>
                </c:pt>
                <c:pt idx="8">
                  <c:v>25191.270000000008</c:v>
                </c:pt>
                <c:pt idx="9">
                  <c:v>24508.720000000001</c:v>
                </c:pt>
                <c:pt idx="10">
                  <c:v>48100.479999999989</c:v>
                </c:pt>
                <c:pt idx="11">
                  <c:v>16647.41</c:v>
                </c:pt>
                <c:pt idx="12">
                  <c:v>42729.009999999995</c:v>
                </c:pt>
                <c:pt idx="13">
                  <c:v>39048.390000000007</c:v>
                </c:pt>
                <c:pt idx="14">
                  <c:v>31262.76</c:v>
                </c:pt>
                <c:pt idx="15">
                  <c:v>23292.42</c:v>
                </c:pt>
                <c:pt idx="16">
                  <c:v>47165.539999999986</c:v>
                </c:pt>
                <c:pt idx="17">
                  <c:v>40131.49</c:v>
                </c:pt>
                <c:pt idx="18">
                  <c:v>35560.130000000005</c:v>
                </c:pt>
                <c:pt idx="19">
                  <c:v>23050.94</c:v>
                </c:pt>
              </c:numCache>
            </c:numRef>
          </c:val>
          <c:smooth val="0"/>
          <c:extLst>
            <c:ext xmlns:c16="http://schemas.microsoft.com/office/drawing/2014/chart" uri="{C3380CC4-5D6E-409C-BE32-E72D297353CC}">
              <c16:uniqueId val="{00000000-2793-4320-9247-67842D00E28D}"/>
            </c:ext>
          </c:extLst>
        </c:ser>
        <c:dLbls>
          <c:dLblPos val="ctr"/>
          <c:showLegendKey val="0"/>
          <c:showVal val="1"/>
          <c:showCatName val="0"/>
          <c:showSerName val="0"/>
          <c:showPercent val="0"/>
          <c:showBubbleSize val="0"/>
        </c:dLbls>
        <c:marker val="1"/>
        <c:smooth val="0"/>
        <c:axId val="1635490880"/>
        <c:axId val="1635491840"/>
      </c:lineChart>
      <c:catAx>
        <c:axId val="163549088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35491840"/>
        <c:crosses val="autoZero"/>
        <c:auto val="1"/>
        <c:lblAlgn val="ctr"/>
        <c:lblOffset val="100"/>
        <c:noMultiLvlLbl val="0"/>
      </c:catAx>
      <c:valAx>
        <c:axId val="1635491840"/>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3549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[vaishnavig_dashboard_dataset _22.9.26.xlsx]PivotTables!PivotTable4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10 Products by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PivotTables!$B$20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PivotTables!$A$21:$A$31</c:f>
              <c:strCache>
                <c:ptCount val="10"/>
                <c:pt idx="0">
                  <c:v>Laptop</c:v>
                </c:pt>
                <c:pt idx="1">
                  <c:v>Table</c:v>
                </c:pt>
                <c:pt idx="2">
                  <c:v>Desk</c:v>
                </c:pt>
                <c:pt idx="3">
                  <c:v>Monitor</c:v>
                </c:pt>
                <c:pt idx="4">
                  <c:v>Printer</c:v>
                </c:pt>
                <c:pt idx="5">
                  <c:v>Bookcase</c:v>
                </c:pt>
                <c:pt idx="6">
                  <c:v>Chair</c:v>
                </c:pt>
                <c:pt idx="7">
                  <c:v>Storage Box</c:v>
                </c:pt>
                <c:pt idx="8">
                  <c:v>Keyboard</c:v>
                </c:pt>
                <c:pt idx="9">
                  <c:v>Binders</c:v>
                </c:pt>
              </c:strCache>
            </c:strRef>
          </c:cat>
          <c:val>
            <c:numRef>
              <c:f>PivotTables!$B$21:$B$31</c:f>
              <c:numCache>
                <c:formatCode>"₹"\ #,##0.00</c:formatCode>
                <c:ptCount val="10"/>
                <c:pt idx="0">
                  <c:v>179087.75000000003</c:v>
                </c:pt>
                <c:pt idx="1">
                  <c:v>97023.320000000022</c:v>
                </c:pt>
                <c:pt idx="2">
                  <c:v>88445.340000000011</c:v>
                </c:pt>
                <c:pt idx="3">
                  <c:v>55799.319999999992</c:v>
                </c:pt>
                <c:pt idx="4">
                  <c:v>40518.049999999996</c:v>
                </c:pt>
                <c:pt idx="5">
                  <c:v>39706.720000000016</c:v>
                </c:pt>
                <c:pt idx="6">
                  <c:v>30776.28000000001</c:v>
                </c:pt>
                <c:pt idx="7">
                  <c:v>24573.29</c:v>
                </c:pt>
                <c:pt idx="8">
                  <c:v>10993.9</c:v>
                </c:pt>
                <c:pt idx="9">
                  <c:v>10674.820000000005</c:v>
                </c:pt>
              </c:numCache>
            </c:numRef>
          </c:val>
          <c:extLst>
            <c:ext xmlns:c16="http://schemas.microsoft.com/office/drawing/2014/chart" uri="{C3380CC4-5D6E-409C-BE32-E72D297353CC}">
              <c16:uniqueId val="{00000000-B7CB-46AE-B6E5-3A576A4F2A81}"/>
            </c:ext>
          </c:extLst>
        </c:ser>
        <c:dLbls>
          <c:dLblPos val="inEnd"/>
          <c:showLegendKey val="0"/>
          <c:showVal val="1"/>
          <c:showCatName val="0"/>
          <c:showSerName val="0"/>
          <c:showPercent val="0"/>
          <c:showBubbleSize val="0"/>
        </c:dLbls>
        <c:gapWidth val="65"/>
        <c:axId val="1759019376"/>
        <c:axId val="1759016496"/>
      </c:barChart>
      <c:catAx>
        <c:axId val="175901937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59016496"/>
        <c:crosses val="autoZero"/>
        <c:auto val="1"/>
        <c:lblAlgn val="ctr"/>
        <c:lblOffset val="100"/>
        <c:noMultiLvlLbl val="0"/>
      </c:catAx>
      <c:valAx>
        <c:axId val="175901649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590193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0</xdr:rowOff>
    </xdr:from>
    <xdr:to>
      <xdr:col>6</xdr:col>
      <xdr:colOff>548640</xdr:colOff>
      <xdr:row>22</xdr:row>
      <xdr:rowOff>114300</xdr:rowOff>
    </xdr:to>
    <xdr:graphicFrame macro="">
      <xdr:nvGraphicFramePr>
        <xdr:cNvPr id="2" name="Chart 1">
          <a:extLst>
            <a:ext uri="{FF2B5EF4-FFF2-40B4-BE49-F238E27FC236}">
              <a16:creationId xmlns:a16="http://schemas.microsoft.com/office/drawing/2014/main" id="{E0E5C0F0-9223-47D1-92A3-A660A17D5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373380</xdr:colOff>
      <xdr:row>7</xdr:row>
      <xdr:rowOff>7620</xdr:rowOff>
    </xdr:from>
    <xdr:to>
      <xdr:col>14</xdr:col>
      <xdr:colOff>83820</xdr:colOff>
      <xdr:row>22</xdr:row>
      <xdr:rowOff>121920</xdr:rowOff>
    </xdr:to>
    <xdr:graphicFrame macro="">
      <xdr:nvGraphicFramePr>
        <xdr:cNvPr id="3" name="Chart 2">
          <a:extLst>
            <a:ext uri="{FF2B5EF4-FFF2-40B4-BE49-F238E27FC236}">
              <a16:creationId xmlns:a16="http://schemas.microsoft.com/office/drawing/2014/main" id="{9D5E162D-6EEC-4498-9856-4CACB8F77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27</xdr:row>
      <xdr:rowOff>0</xdr:rowOff>
    </xdr:from>
    <xdr:to>
      <xdr:col>6</xdr:col>
      <xdr:colOff>548640</xdr:colOff>
      <xdr:row>42</xdr:row>
      <xdr:rowOff>114300</xdr:rowOff>
    </xdr:to>
    <xdr:graphicFrame macro="">
      <xdr:nvGraphicFramePr>
        <xdr:cNvPr id="4" name="Chart 3">
          <a:extLst>
            <a:ext uri="{FF2B5EF4-FFF2-40B4-BE49-F238E27FC236}">
              <a16:creationId xmlns:a16="http://schemas.microsoft.com/office/drawing/2014/main" id="{66038325-EEF7-4485-9254-5B8175C0B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0</xdr:colOff>
      <xdr:row>2</xdr:row>
      <xdr:rowOff>167640</xdr:rowOff>
    </xdr:from>
    <xdr:to>
      <xdr:col>18</xdr:col>
      <xdr:colOff>487680</xdr:colOff>
      <xdr:row>16</xdr:row>
      <xdr:rowOff>112395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169AFFD5-4D8F-4665-A06A-CDFA54272C8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559540" y="601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7620</xdr:colOff>
      <xdr:row>17</xdr:row>
      <xdr:rowOff>160020</xdr:rowOff>
    </xdr:from>
    <xdr:to>
      <xdr:col>18</xdr:col>
      <xdr:colOff>495300</xdr:colOff>
      <xdr:row>31</xdr:row>
      <xdr:rowOff>173355</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5D593A0C-8A21-4CE0-884C-E83EA7C17F6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567160" y="3291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navi Gawande" refreshedDate="46286.806718865744" createdVersion="8" refreshedVersion="8" minRefreshableVersion="3" recordCount="750" xr:uid="{7BEED959-3DE0-4E98-9088-774CB55DA0E0}">
  <cacheSource type="worksheet">
    <worksheetSource name="SalesData"/>
  </cacheSource>
  <cacheFields count="13">
    <cacheField name="Order ID" numFmtId="0">
      <sharedItems/>
    </cacheField>
    <cacheField name="Order Date" numFmtId="164">
      <sharedItems containsSemiMixedTypes="0" containsNonDate="0" containsDate="1" containsString="0" minDate="2025-01-02T00:00:00" maxDate="2026-08-30T00:00:00"/>
    </cacheField>
    <cacheField name="Region" numFmtId="0">
      <sharedItems count="4">
        <s v="South"/>
        <s v="West"/>
        <s v="North"/>
        <s v="East"/>
      </sharedItems>
    </cacheField>
    <cacheField name="Category" numFmtId="0">
      <sharedItems count="3">
        <s v="Office Supplies"/>
        <s v="Technology"/>
        <s v="Furniture"/>
      </sharedItems>
    </cacheField>
    <cacheField name="Product" numFmtId="0">
      <sharedItems count="12">
        <s v="Binders"/>
        <s v="Storage Box"/>
        <s v="Keyboard"/>
        <s v="Desk"/>
        <s v="Printer"/>
        <s v="Table"/>
        <s v="Laptop"/>
        <s v="Chair"/>
        <s v="Pens"/>
        <s v="Bookcase"/>
        <s v="Paper"/>
        <s v="Monitor"/>
      </sharedItems>
    </cacheField>
    <cacheField name="Customer" numFmtId="0">
      <sharedItems/>
    </cacheField>
    <cacheField name="Quantity" numFmtId="3">
      <sharedItems containsSemiMixedTypes="0" containsString="0" containsNumber="1" containsInteger="1" minValue="1" maxValue="12"/>
    </cacheField>
    <cacheField name="Unit Price" numFmtId="165">
      <sharedItems containsSemiMixedTypes="0" containsString="0" containsNumber="1" minValue="10.33" maxValue="1080.7"/>
    </cacheField>
    <cacheField name="Sales" numFmtId="165">
      <sharedItems containsSemiMixedTypes="0" containsString="0" containsNumber="1" minValue="11.59" maxValue="5317.35"/>
    </cacheField>
    <cacheField name="Cost" numFmtId="165">
      <sharedItems containsSemiMixedTypes="0" containsString="0" containsNumber="1" minValue="4" maxValue="4101.74"/>
    </cacheField>
    <cacheField name="Profit" numFmtId="165">
      <sharedItems containsSemiMixedTypes="0" containsString="0" containsNumber="1" minValue="7.59" maxValue="1298.8399999999999"/>
    </cacheField>
    <cacheField name="Year" numFmtId="0">
      <sharedItems containsSemiMixedTypes="0" containsString="0" containsNumber="1" containsInteger="1" minValue="2025" maxValue="2026" count="2">
        <n v="2025"/>
        <n v="2026"/>
      </sharedItems>
    </cacheField>
    <cacheField name="Month" numFmtId="0">
      <sharedItems count="12">
        <s v="Dec"/>
        <s v="Jan"/>
        <s v="Nov"/>
        <s v="Apr"/>
        <s v="May"/>
        <s v="Jun"/>
        <s v="Oct"/>
        <s v="Aug"/>
        <s v="Jul"/>
        <s v="Mar"/>
        <s v="Feb"/>
        <s v="Sep"/>
      </sharedItems>
    </cacheField>
  </cacheFields>
  <extLst>
    <ext xmlns:x14="http://schemas.microsoft.com/office/spreadsheetml/2009/9/main" uri="{725AE2AE-9491-48be-B2B4-4EB974FC3084}">
      <x14:pivotCacheDefinition pivotCacheId="6060251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
  <r>
    <s v="ORD-0001"/>
    <d v="2025-12-20T00:00:00"/>
    <x v="0"/>
    <x v="0"/>
    <x v="0"/>
    <s v="Evergreen Mart"/>
    <n v="2"/>
    <n v="21.73"/>
    <n v="43.46"/>
    <n v="17.670000000000002"/>
    <n v="25.79"/>
    <x v="0"/>
    <x v="0"/>
  </r>
  <r>
    <s v="ORD-0002"/>
    <d v="2025-01-06T00:00:00"/>
    <x v="1"/>
    <x v="0"/>
    <x v="1"/>
    <s v="Evergreen Mart"/>
    <n v="8"/>
    <n v="50.94"/>
    <n v="407.52"/>
    <n v="181.38"/>
    <n v="226.14"/>
    <x v="0"/>
    <x v="1"/>
  </r>
  <r>
    <s v="ORD-0003"/>
    <d v="2025-11-19T00:00:00"/>
    <x v="1"/>
    <x v="1"/>
    <x v="2"/>
    <s v="Crescent Stores"/>
    <n v="1"/>
    <n v="48.9"/>
    <n v="48.9"/>
    <n v="22"/>
    <n v="26.9"/>
    <x v="0"/>
    <x v="2"/>
  </r>
  <r>
    <s v="ORD-0004"/>
    <d v="2026-04-28T00:00:00"/>
    <x v="1"/>
    <x v="2"/>
    <x v="3"/>
    <s v="Blue Sky Retail"/>
    <n v="1"/>
    <n v="370.7"/>
    <n v="370.7"/>
    <n v="243.67"/>
    <n v="127.03"/>
    <x v="1"/>
    <x v="3"/>
  </r>
  <r>
    <s v="ORD-0005"/>
    <d v="2025-05-12T00:00:00"/>
    <x v="1"/>
    <x v="1"/>
    <x v="4"/>
    <s v="Greenfield Co."/>
    <n v="5"/>
    <n v="226.64"/>
    <n v="1133.2"/>
    <n v="772.26"/>
    <n v="360.94"/>
    <x v="0"/>
    <x v="4"/>
  </r>
  <r>
    <s v="ORD-0006"/>
    <d v="2025-06-28T00:00:00"/>
    <x v="2"/>
    <x v="2"/>
    <x v="3"/>
    <s v="Harbor Sales"/>
    <n v="3"/>
    <n v="457.64"/>
    <n v="1372.92"/>
    <n v="846.03"/>
    <n v="526.89"/>
    <x v="0"/>
    <x v="5"/>
  </r>
  <r>
    <s v="ORD-0007"/>
    <d v="2025-10-26T00:00:00"/>
    <x v="3"/>
    <x v="2"/>
    <x v="5"/>
    <s v="Crescent Stores"/>
    <n v="2"/>
    <n v="535.74"/>
    <n v="1071.48"/>
    <n v="682.4"/>
    <n v="389.08"/>
    <x v="0"/>
    <x v="6"/>
  </r>
  <r>
    <s v="ORD-0008"/>
    <d v="2026-01-13T00:00:00"/>
    <x v="3"/>
    <x v="1"/>
    <x v="4"/>
    <s v="Blue Sky Retail"/>
    <n v="3"/>
    <n v="238.41"/>
    <n v="715.23"/>
    <n v="453.2"/>
    <n v="262.02999999999997"/>
    <x v="1"/>
    <x v="1"/>
  </r>
  <r>
    <s v="ORD-0009"/>
    <d v="2026-08-18T00:00:00"/>
    <x v="0"/>
    <x v="1"/>
    <x v="6"/>
    <s v="Evergreen Mart"/>
    <n v="5"/>
    <n v="932.93"/>
    <n v="4664.6499999999996"/>
    <n v="3365.81"/>
    <n v="1298.8399999999999"/>
    <x v="1"/>
    <x v="7"/>
  </r>
  <r>
    <s v="ORD-0010"/>
    <d v="2026-06-04T00:00:00"/>
    <x v="2"/>
    <x v="0"/>
    <x v="0"/>
    <s v="Harbor Sales"/>
    <n v="3"/>
    <n v="26.94"/>
    <n v="80.819999999999993"/>
    <n v="34.86"/>
    <n v="45.96"/>
    <x v="1"/>
    <x v="5"/>
  </r>
  <r>
    <s v="ORD-0011"/>
    <d v="2026-08-06T00:00:00"/>
    <x v="0"/>
    <x v="2"/>
    <x v="7"/>
    <s v="Aarav Traders"/>
    <n v="4"/>
    <n v="176.96"/>
    <n v="707.84"/>
    <n v="384.11"/>
    <n v="323.73"/>
    <x v="1"/>
    <x v="7"/>
  </r>
  <r>
    <s v="ORD-0012"/>
    <d v="2026-01-19T00:00:00"/>
    <x v="3"/>
    <x v="1"/>
    <x v="2"/>
    <s v="Crescent Stores"/>
    <n v="2"/>
    <n v="54.1"/>
    <n v="108.2"/>
    <n v="50.42"/>
    <n v="57.78"/>
    <x v="1"/>
    <x v="1"/>
  </r>
  <r>
    <s v="ORD-0013"/>
    <d v="2026-07-18T00:00:00"/>
    <x v="3"/>
    <x v="2"/>
    <x v="7"/>
    <s v="Greenfield Co."/>
    <n v="4"/>
    <n v="167.17"/>
    <n v="668.68"/>
    <n v="390.27"/>
    <n v="278.41000000000003"/>
    <x v="1"/>
    <x v="8"/>
  </r>
  <r>
    <s v="ORD-0014"/>
    <d v="2025-05-13T00:00:00"/>
    <x v="1"/>
    <x v="0"/>
    <x v="1"/>
    <s v="Blue Sky Retail"/>
    <n v="8"/>
    <n v="45.87"/>
    <n v="366.96"/>
    <n v="180.92"/>
    <n v="186.04"/>
    <x v="0"/>
    <x v="4"/>
  </r>
  <r>
    <s v="ORD-0015"/>
    <d v="2025-06-03T00:00:00"/>
    <x v="0"/>
    <x v="0"/>
    <x v="0"/>
    <s v="Greenfield Co."/>
    <n v="9"/>
    <n v="27.19"/>
    <n v="244.71"/>
    <n v="111.21"/>
    <n v="133.5"/>
    <x v="0"/>
    <x v="5"/>
  </r>
  <r>
    <s v="ORD-0016"/>
    <d v="2026-07-21T00:00:00"/>
    <x v="2"/>
    <x v="0"/>
    <x v="0"/>
    <s v="Blue Sky Retail"/>
    <n v="9"/>
    <n v="26.09"/>
    <n v="234.81"/>
    <n v="99.63"/>
    <n v="135.18"/>
    <x v="1"/>
    <x v="8"/>
  </r>
  <r>
    <s v="ORD-0017"/>
    <d v="2025-07-16T00:00:00"/>
    <x v="0"/>
    <x v="0"/>
    <x v="0"/>
    <s v="Dawn Enterprises"/>
    <n v="10"/>
    <n v="24.13"/>
    <n v="241.3"/>
    <n v="97.6"/>
    <n v="143.69999999999999"/>
    <x v="0"/>
    <x v="8"/>
  </r>
  <r>
    <s v="ORD-0018"/>
    <d v="2025-03-30T00:00:00"/>
    <x v="3"/>
    <x v="0"/>
    <x v="8"/>
    <s v="Crescent Stores"/>
    <n v="2"/>
    <n v="10.99"/>
    <n v="21.98"/>
    <n v="8.06"/>
    <n v="13.92"/>
    <x v="0"/>
    <x v="9"/>
  </r>
  <r>
    <s v="ORD-0019"/>
    <d v="2025-03-29T00:00:00"/>
    <x v="0"/>
    <x v="1"/>
    <x v="6"/>
    <s v="Crescent Stores"/>
    <n v="3"/>
    <n v="858.43"/>
    <n v="2575.29"/>
    <n v="1993.32"/>
    <n v="581.97"/>
    <x v="0"/>
    <x v="9"/>
  </r>
  <r>
    <s v="ORD-0020"/>
    <d v="2025-03-02T00:00:00"/>
    <x v="0"/>
    <x v="0"/>
    <x v="8"/>
    <s v="Blue Sky Retail"/>
    <n v="7"/>
    <n v="11.97"/>
    <n v="83.79"/>
    <n v="29.08"/>
    <n v="54.71"/>
    <x v="0"/>
    <x v="9"/>
  </r>
  <r>
    <s v="ORD-0021"/>
    <d v="2026-08-24T00:00:00"/>
    <x v="3"/>
    <x v="1"/>
    <x v="4"/>
    <s v="Harbor Sales"/>
    <n v="5"/>
    <n v="215.34"/>
    <n v="1076.7"/>
    <n v="735.95"/>
    <n v="340.75"/>
    <x v="1"/>
    <x v="7"/>
  </r>
  <r>
    <s v="ORD-0022"/>
    <d v="2025-01-10T00:00:00"/>
    <x v="3"/>
    <x v="0"/>
    <x v="8"/>
    <s v="Greenfield Co."/>
    <n v="5"/>
    <n v="11.84"/>
    <n v="59.2"/>
    <n v="19.39"/>
    <n v="39.81"/>
    <x v="0"/>
    <x v="1"/>
  </r>
  <r>
    <s v="ORD-0023"/>
    <d v="2025-02-02T00:00:00"/>
    <x v="0"/>
    <x v="2"/>
    <x v="5"/>
    <s v="Evergreen Mart"/>
    <n v="4"/>
    <n v="451.37"/>
    <n v="1805.48"/>
    <n v="1168.24"/>
    <n v="637.24"/>
    <x v="0"/>
    <x v="10"/>
  </r>
  <r>
    <s v="ORD-0024"/>
    <d v="2025-08-01T00:00:00"/>
    <x v="3"/>
    <x v="2"/>
    <x v="5"/>
    <s v="Futura Works"/>
    <n v="1"/>
    <n v="561.61"/>
    <n v="561.61"/>
    <n v="377.64"/>
    <n v="183.97"/>
    <x v="0"/>
    <x v="7"/>
  </r>
  <r>
    <s v="ORD-0025"/>
    <d v="2026-02-14T00:00:00"/>
    <x v="1"/>
    <x v="1"/>
    <x v="6"/>
    <s v="Futura Works"/>
    <n v="5"/>
    <n v="1040.81"/>
    <n v="5204.05"/>
    <n v="4001.38"/>
    <n v="1202.67"/>
    <x v="1"/>
    <x v="10"/>
  </r>
  <r>
    <s v="ORD-0026"/>
    <d v="2025-11-30T00:00:00"/>
    <x v="3"/>
    <x v="2"/>
    <x v="5"/>
    <s v="Futura Works"/>
    <n v="4"/>
    <n v="478.28"/>
    <n v="1913.12"/>
    <n v="1175.58"/>
    <n v="737.54"/>
    <x v="0"/>
    <x v="2"/>
  </r>
  <r>
    <s v="ORD-0027"/>
    <d v="2026-08-08T00:00:00"/>
    <x v="1"/>
    <x v="0"/>
    <x v="1"/>
    <s v="Greenfield Co."/>
    <n v="10"/>
    <n v="47.61"/>
    <n v="476.1"/>
    <n v="232.27"/>
    <n v="243.83"/>
    <x v="1"/>
    <x v="7"/>
  </r>
  <r>
    <s v="ORD-0028"/>
    <d v="2026-02-21T00:00:00"/>
    <x v="3"/>
    <x v="1"/>
    <x v="6"/>
    <s v="Harbor Sales"/>
    <n v="5"/>
    <n v="871.41"/>
    <n v="4357.05"/>
    <n v="3449.7"/>
    <n v="907.35"/>
    <x v="1"/>
    <x v="10"/>
  </r>
  <r>
    <s v="ORD-0029"/>
    <d v="2026-01-22T00:00:00"/>
    <x v="1"/>
    <x v="1"/>
    <x v="4"/>
    <s v="Evergreen Mart"/>
    <n v="1"/>
    <n v="181.95"/>
    <n v="181.95"/>
    <n v="113.79"/>
    <n v="68.16"/>
    <x v="1"/>
    <x v="1"/>
  </r>
  <r>
    <s v="ORD-0030"/>
    <d v="2025-04-28T00:00:00"/>
    <x v="3"/>
    <x v="1"/>
    <x v="6"/>
    <s v="Crescent Stores"/>
    <n v="3"/>
    <n v="845.92"/>
    <n v="2537.7600000000002"/>
    <n v="1845.65"/>
    <n v="692.11"/>
    <x v="0"/>
    <x v="3"/>
  </r>
  <r>
    <s v="ORD-0031"/>
    <d v="2025-07-05T00:00:00"/>
    <x v="3"/>
    <x v="1"/>
    <x v="6"/>
    <s v="Harbor Sales"/>
    <n v="4"/>
    <n v="841.53"/>
    <n v="3366.12"/>
    <n v="2550.6"/>
    <n v="815.52"/>
    <x v="0"/>
    <x v="8"/>
  </r>
  <r>
    <s v="ORD-0032"/>
    <d v="2025-01-05T00:00:00"/>
    <x v="0"/>
    <x v="2"/>
    <x v="9"/>
    <s v="Harbor Sales"/>
    <n v="1"/>
    <n v="296.87"/>
    <n v="296.87"/>
    <n v="184.13"/>
    <n v="112.74"/>
    <x v="0"/>
    <x v="1"/>
  </r>
  <r>
    <s v="ORD-0033"/>
    <d v="2026-05-14T00:00:00"/>
    <x v="2"/>
    <x v="2"/>
    <x v="9"/>
    <s v="Crescent Stores"/>
    <n v="3"/>
    <n v="278.10000000000002"/>
    <n v="834.3"/>
    <n v="494.7"/>
    <n v="339.6"/>
    <x v="1"/>
    <x v="4"/>
  </r>
  <r>
    <s v="ORD-0034"/>
    <d v="2026-05-09T00:00:00"/>
    <x v="2"/>
    <x v="2"/>
    <x v="3"/>
    <s v="Crescent Stores"/>
    <n v="2"/>
    <n v="392.53"/>
    <n v="785.06"/>
    <n v="516.48"/>
    <n v="268.58"/>
    <x v="1"/>
    <x v="4"/>
  </r>
  <r>
    <s v="ORD-0035"/>
    <d v="2025-09-15T00:00:00"/>
    <x v="2"/>
    <x v="0"/>
    <x v="1"/>
    <s v="Futura Works"/>
    <n v="10"/>
    <n v="48.88"/>
    <n v="488.8"/>
    <n v="213.13"/>
    <n v="275.67"/>
    <x v="0"/>
    <x v="11"/>
  </r>
  <r>
    <s v="ORD-0036"/>
    <d v="2025-09-03T00:00:00"/>
    <x v="2"/>
    <x v="0"/>
    <x v="8"/>
    <s v="Crescent Stores"/>
    <n v="11"/>
    <n v="10.81"/>
    <n v="118.91"/>
    <n v="42.54"/>
    <n v="76.37"/>
    <x v="0"/>
    <x v="11"/>
  </r>
  <r>
    <s v="ORD-0037"/>
    <d v="2025-07-18T00:00:00"/>
    <x v="1"/>
    <x v="0"/>
    <x v="0"/>
    <s v="Dawn Enterprises"/>
    <n v="6"/>
    <n v="21.56"/>
    <n v="129.36000000000001"/>
    <n v="51.1"/>
    <n v="78.260000000000005"/>
    <x v="0"/>
    <x v="8"/>
  </r>
  <r>
    <s v="ORD-0038"/>
    <d v="2025-11-09T00:00:00"/>
    <x v="1"/>
    <x v="2"/>
    <x v="3"/>
    <s v="Blue Sky Retail"/>
    <n v="5"/>
    <n v="478.49"/>
    <n v="2392.4499999999998"/>
    <n v="1519.37"/>
    <n v="873.08"/>
    <x v="0"/>
    <x v="2"/>
  </r>
  <r>
    <s v="ORD-0039"/>
    <d v="2025-08-02T00:00:00"/>
    <x v="2"/>
    <x v="0"/>
    <x v="8"/>
    <s v="Futura Works"/>
    <n v="4"/>
    <n v="11.26"/>
    <n v="45.04"/>
    <n v="16.32"/>
    <n v="28.72"/>
    <x v="0"/>
    <x v="7"/>
  </r>
  <r>
    <s v="ORD-0040"/>
    <d v="2025-03-11T00:00:00"/>
    <x v="1"/>
    <x v="2"/>
    <x v="9"/>
    <s v="Crescent Stores"/>
    <n v="3"/>
    <n v="264.83999999999997"/>
    <n v="794.52"/>
    <n v="439.91"/>
    <n v="354.61"/>
    <x v="0"/>
    <x v="9"/>
  </r>
  <r>
    <s v="ORD-0041"/>
    <d v="2025-02-21T00:00:00"/>
    <x v="2"/>
    <x v="0"/>
    <x v="0"/>
    <s v="Blue Sky Retail"/>
    <n v="5"/>
    <n v="24.99"/>
    <n v="124.95"/>
    <n v="56.78"/>
    <n v="68.17"/>
    <x v="0"/>
    <x v="10"/>
  </r>
  <r>
    <s v="ORD-0042"/>
    <d v="2026-04-03T00:00:00"/>
    <x v="1"/>
    <x v="2"/>
    <x v="3"/>
    <s v="Harbor Sales"/>
    <n v="3"/>
    <n v="461"/>
    <n v="1383"/>
    <n v="868.31"/>
    <n v="514.69000000000005"/>
    <x v="1"/>
    <x v="3"/>
  </r>
  <r>
    <s v="ORD-0043"/>
    <d v="2026-08-21T00:00:00"/>
    <x v="2"/>
    <x v="0"/>
    <x v="8"/>
    <s v="Dawn Enterprises"/>
    <n v="5"/>
    <n v="11.17"/>
    <n v="55.85"/>
    <n v="18.399999999999999"/>
    <n v="37.450000000000003"/>
    <x v="1"/>
    <x v="7"/>
  </r>
  <r>
    <s v="ORD-0044"/>
    <d v="2026-06-29T00:00:00"/>
    <x v="1"/>
    <x v="1"/>
    <x v="2"/>
    <s v="Evergreen Mart"/>
    <n v="3"/>
    <n v="57.01"/>
    <n v="171.03"/>
    <n v="76.95"/>
    <n v="94.08"/>
    <x v="1"/>
    <x v="5"/>
  </r>
  <r>
    <s v="ORD-0045"/>
    <d v="2026-07-15T00:00:00"/>
    <x v="3"/>
    <x v="0"/>
    <x v="8"/>
    <s v="Dawn Enterprises"/>
    <n v="7"/>
    <n v="11.54"/>
    <n v="80.78"/>
    <n v="27.22"/>
    <n v="53.56"/>
    <x v="1"/>
    <x v="8"/>
  </r>
  <r>
    <s v="ORD-0046"/>
    <d v="2025-01-18T00:00:00"/>
    <x v="3"/>
    <x v="2"/>
    <x v="5"/>
    <s v="Greenfield Co."/>
    <n v="5"/>
    <n v="491.77"/>
    <n v="2458.85"/>
    <n v="1502.96"/>
    <n v="955.89"/>
    <x v="0"/>
    <x v="1"/>
  </r>
  <r>
    <s v="ORD-0047"/>
    <d v="2026-07-26T00:00:00"/>
    <x v="0"/>
    <x v="2"/>
    <x v="9"/>
    <s v="Harbor Sales"/>
    <n v="1"/>
    <n v="297.39"/>
    <n v="297.39"/>
    <n v="164.64"/>
    <n v="132.75"/>
    <x v="1"/>
    <x v="8"/>
  </r>
  <r>
    <s v="ORD-0048"/>
    <d v="2026-05-02T00:00:00"/>
    <x v="2"/>
    <x v="2"/>
    <x v="7"/>
    <s v="Crescent Stores"/>
    <n v="4"/>
    <n v="174.37"/>
    <n v="697.48"/>
    <n v="415.22"/>
    <n v="282.26"/>
    <x v="1"/>
    <x v="4"/>
  </r>
  <r>
    <s v="ORD-0049"/>
    <d v="2025-09-06T00:00:00"/>
    <x v="1"/>
    <x v="2"/>
    <x v="5"/>
    <s v="Harbor Sales"/>
    <n v="4"/>
    <n v="502.66"/>
    <n v="2010.64"/>
    <n v="1287.6500000000001"/>
    <n v="722.99"/>
    <x v="0"/>
    <x v="11"/>
  </r>
  <r>
    <s v="ORD-0050"/>
    <d v="2026-05-20T00:00:00"/>
    <x v="2"/>
    <x v="2"/>
    <x v="7"/>
    <s v="Greenfield Co."/>
    <n v="2"/>
    <n v="174.68"/>
    <n v="349.36"/>
    <n v="187.96"/>
    <n v="161.4"/>
    <x v="1"/>
    <x v="4"/>
  </r>
  <r>
    <s v="ORD-0051"/>
    <d v="2026-02-01T00:00:00"/>
    <x v="1"/>
    <x v="2"/>
    <x v="9"/>
    <s v="Crescent Stores"/>
    <n v="5"/>
    <n v="244.27"/>
    <n v="1221.3499999999999"/>
    <n v="738.01"/>
    <n v="483.34"/>
    <x v="1"/>
    <x v="10"/>
  </r>
  <r>
    <s v="ORD-0052"/>
    <d v="2025-11-30T00:00:00"/>
    <x v="1"/>
    <x v="0"/>
    <x v="10"/>
    <s v="Evergreen Mart"/>
    <n v="6"/>
    <n v="17.71"/>
    <n v="106.26"/>
    <n v="44.16"/>
    <n v="62.1"/>
    <x v="0"/>
    <x v="2"/>
  </r>
  <r>
    <s v="ORD-0053"/>
    <d v="2025-05-04T00:00:00"/>
    <x v="1"/>
    <x v="2"/>
    <x v="7"/>
    <s v="Evergreen Mart"/>
    <n v="1"/>
    <n v="161.99"/>
    <n v="161.99"/>
    <n v="96.77"/>
    <n v="65.22"/>
    <x v="0"/>
    <x v="4"/>
  </r>
  <r>
    <s v="ORD-0054"/>
    <d v="2026-02-06T00:00:00"/>
    <x v="1"/>
    <x v="1"/>
    <x v="4"/>
    <s v="Harbor Sales"/>
    <n v="1"/>
    <n v="200.06"/>
    <n v="200.06"/>
    <n v="134.07"/>
    <n v="65.989999999999995"/>
    <x v="1"/>
    <x v="10"/>
  </r>
  <r>
    <s v="ORD-0055"/>
    <d v="2025-10-22T00:00:00"/>
    <x v="3"/>
    <x v="2"/>
    <x v="3"/>
    <s v="Aarav Traders"/>
    <n v="2"/>
    <n v="375.45"/>
    <n v="750.9"/>
    <n v="442.11"/>
    <n v="308.79000000000002"/>
    <x v="0"/>
    <x v="6"/>
  </r>
  <r>
    <s v="ORD-0056"/>
    <d v="2025-01-28T00:00:00"/>
    <x v="0"/>
    <x v="2"/>
    <x v="7"/>
    <s v="Aarav Traders"/>
    <n v="4"/>
    <n v="186.23"/>
    <n v="744.92"/>
    <n v="404.02"/>
    <n v="340.9"/>
    <x v="0"/>
    <x v="1"/>
  </r>
  <r>
    <s v="ORD-0057"/>
    <d v="2026-04-14T00:00:00"/>
    <x v="3"/>
    <x v="1"/>
    <x v="4"/>
    <s v="Futura Works"/>
    <n v="4"/>
    <n v="223.96"/>
    <n v="895.84"/>
    <n v="548.63"/>
    <n v="347.21"/>
    <x v="1"/>
    <x v="3"/>
  </r>
  <r>
    <s v="ORD-0058"/>
    <d v="2025-06-05T00:00:00"/>
    <x v="3"/>
    <x v="1"/>
    <x v="2"/>
    <s v="Harbor Sales"/>
    <n v="5"/>
    <n v="51.72"/>
    <n v="258.60000000000002"/>
    <n v="119.95"/>
    <n v="138.65"/>
    <x v="0"/>
    <x v="5"/>
  </r>
  <r>
    <s v="ORD-0059"/>
    <d v="2026-07-18T00:00:00"/>
    <x v="2"/>
    <x v="2"/>
    <x v="3"/>
    <s v="Crescent Stores"/>
    <n v="5"/>
    <n v="459.67"/>
    <n v="2298.35"/>
    <n v="1408.38"/>
    <n v="889.97"/>
    <x v="1"/>
    <x v="8"/>
  </r>
  <r>
    <s v="ORD-0060"/>
    <d v="2026-03-07T00:00:00"/>
    <x v="2"/>
    <x v="1"/>
    <x v="4"/>
    <s v="Crescent Stores"/>
    <n v="2"/>
    <n v="187.01"/>
    <n v="374.02"/>
    <n v="230.06"/>
    <n v="143.96"/>
    <x v="1"/>
    <x v="9"/>
  </r>
  <r>
    <s v="ORD-0061"/>
    <d v="2026-02-21T00:00:00"/>
    <x v="1"/>
    <x v="2"/>
    <x v="5"/>
    <s v="Crescent Stores"/>
    <n v="5"/>
    <n v="490.16"/>
    <n v="2450.8000000000002"/>
    <n v="1618.65"/>
    <n v="832.15"/>
    <x v="1"/>
    <x v="10"/>
  </r>
  <r>
    <s v="ORD-0062"/>
    <d v="2025-08-10T00:00:00"/>
    <x v="1"/>
    <x v="0"/>
    <x v="1"/>
    <s v="Blue Sky Retail"/>
    <n v="12"/>
    <n v="50.31"/>
    <n v="603.72"/>
    <n v="266.77999999999997"/>
    <n v="336.94"/>
    <x v="0"/>
    <x v="7"/>
  </r>
  <r>
    <s v="ORD-0063"/>
    <d v="2025-04-05T00:00:00"/>
    <x v="0"/>
    <x v="1"/>
    <x v="2"/>
    <s v="Aarav Traders"/>
    <n v="5"/>
    <n v="50.04"/>
    <n v="250.2"/>
    <n v="103.62"/>
    <n v="146.58000000000001"/>
    <x v="0"/>
    <x v="3"/>
  </r>
  <r>
    <s v="ORD-0064"/>
    <d v="2026-02-04T00:00:00"/>
    <x v="3"/>
    <x v="0"/>
    <x v="0"/>
    <s v="Blue Sky Retail"/>
    <n v="4"/>
    <n v="24.28"/>
    <n v="97.12"/>
    <n v="40.76"/>
    <n v="56.36"/>
    <x v="1"/>
    <x v="10"/>
  </r>
  <r>
    <s v="ORD-0065"/>
    <d v="2026-07-08T00:00:00"/>
    <x v="2"/>
    <x v="0"/>
    <x v="1"/>
    <s v="Blue Sky Retail"/>
    <n v="6"/>
    <n v="38.869999999999997"/>
    <n v="233.22"/>
    <n v="99.34"/>
    <n v="133.88"/>
    <x v="1"/>
    <x v="8"/>
  </r>
  <r>
    <s v="ORD-0066"/>
    <d v="2026-02-23T00:00:00"/>
    <x v="0"/>
    <x v="2"/>
    <x v="5"/>
    <s v="Dawn Enterprises"/>
    <n v="3"/>
    <n v="483.23"/>
    <n v="1449.69"/>
    <n v="879.69"/>
    <n v="570"/>
    <x v="1"/>
    <x v="10"/>
  </r>
  <r>
    <s v="ORD-0067"/>
    <d v="2025-11-17T00:00:00"/>
    <x v="1"/>
    <x v="2"/>
    <x v="9"/>
    <s v="Crescent Stores"/>
    <n v="3"/>
    <n v="295.37"/>
    <n v="886.11"/>
    <n v="495.97"/>
    <n v="390.14"/>
    <x v="0"/>
    <x v="2"/>
  </r>
  <r>
    <s v="ORD-0068"/>
    <d v="2026-07-26T00:00:00"/>
    <x v="0"/>
    <x v="2"/>
    <x v="5"/>
    <s v="Aarav Traders"/>
    <n v="1"/>
    <n v="545.24"/>
    <n v="545.24"/>
    <n v="363.83"/>
    <n v="181.41"/>
    <x v="1"/>
    <x v="8"/>
  </r>
  <r>
    <s v="ORD-0069"/>
    <d v="2026-04-01T00:00:00"/>
    <x v="1"/>
    <x v="1"/>
    <x v="11"/>
    <s v="Futura Works"/>
    <n v="5"/>
    <n v="320.29000000000002"/>
    <n v="1601.45"/>
    <n v="1123.6300000000001"/>
    <n v="477.82"/>
    <x v="1"/>
    <x v="3"/>
  </r>
  <r>
    <s v="ORD-0070"/>
    <d v="2026-05-31T00:00:00"/>
    <x v="1"/>
    <x v="2"/>
    <x v="5"/>
    <s v="Evergreen Mart"/>
    <n v="5"/>
    <n v="483.03"/>
    <n v="2415.15"/>
    <n v="1470.96"/>
    <n v="944.19"/>
    <x v="1"/>
    <x v="4"/>
  </r>
  <r>
    <s v="ORD-0071"/>
    <d v="2026-04-15T00:00:00"/>
    <x v="3"/>
    <x v="1"/>
    <x v="2"/>
    <s v="Blue Sky Retail"/>
    <n v="3"/>
    <n v="51.08"/>
    <n v="153.24"/>
    <n v="69.45"/>
    <n v="83.79"/>
    <x v="1"/>
    <x v="3"/>
  </r>
  <r>
    <s v="ORD-0072"/>
    <d v="2025-07-14T00:00:00"/>
    <x v="1"/>
    <x v="1"/>
    <x v="11"/>
    <s v="Dawn Enterprises"/>
    <n v="1"/>
    <n v="292.05"/>
    <n v="292.05"/>
    <n v="212.5"/>
    <n v="79.55"/>
    <x v="0"/>
    <x v="8"/>
  </r>
  <r>
    <s v="ORD-0073"/>
    <d v="2025-08-13T00:00:00"/>
    <x v="0"/>
    <x v="2"/>
    <x v="7"/>
    <s v="Aarav Traders"/>
    <n v="4"/>
    <n v="171.89"/>
    <n v="687.56"/>
    <n v="375.05"/>
    <n v="312.51"/>
    <x v="0"/>
    <x v="7"/>
  </r>
  <r>
    <s v="ORD-0074"/>
    <d v="2025-10-19T00:00:00"/>
    <x v="2"/>
    <x v="2"/>
    <x v="3"/>
    <s v="Crescent Stores"/>
    <n v="3"/>
    <n v="374.17"/>
    <n v="1122.51"/>
    <n v="699.92"/>
    <n v="422.59"/>
    <x v="0"/>
    <x v="6"/>
  </r>
  <r>
    <s v="ORD-0075"/>
    <d v="2026-08-05T00:00:00"/>
    <x v="2"/>
    <x v="2"/>
    <x v="3"/>
    <s v="Blue Sky Retail"/>
    <n v="4"/>
    <n v="380.19"/>
    <n v="1520.76"/>
    <n v="978.19"/>
    <n v="542.57000000000005"/>
    <x v="1"/>
    <x v="7"/>
  </r>
  <r>
    <s v="ORD-0076"/>
    <d v="2025-08-01T00:00:00"/>
    <x v="1"/>
    <x v="2"/>
    <x v="7"/>
    <s v="Futura Works"/>
    <n v="2"/>
    <n v="178.12"/>
    <n v="356.24"/>
    <n v="195.88"/>
    <n v="160.36000000000001"/>
    <x v="0"/>
    <x v="7"/>
  </r>
  <r>
    <s v="ORD-0077"/>
    <d v="2025-02-21T00:00:00"/>
    <x v="3"/>
    <x v="0"/>
    <x v="10"/>
    <s v="Futura Works"/>
    <n v="7"/>
    <n v="19.829999999999998"/>
    <n v="138.81"/>
    <n v="58.92"/>
    <n v="79.89"/>
    <x v="0"/>
    <x v="10"/>
  </r>
  <r>
    <s v="ORD-0078"/>
    <d v="2026-05-24T00:00:00"/>
    <x v="3"/>
    <x v="1"/>
    <x v="11"/>
    <s v="Futura Works"/>
    <n v="1"/>
    <n v="277.10000000000002"/>
    <n v="277.10000000000002"/>
    <n v="196.31"/>
    <n v="80.790000000000006"/>
    <x v="1"/>
    <x v="4"/>
  </r>
  <r>
    <s v="ORD-0079"/>
    <d v="2025-11-07T00:00:00"/>
    <x v="3"/>
    <x v="0"/>
    <x v="10"/>
    <s v="Crescent Stores"/>
    <n v="11"/>
    <n v="17.010000000000002"/>
    <n v="187.11"/>
    <n v="74.89"/>
    <n v="112.22"/>
    <x v="0"/>
    <x v="2"/>
  </r>
  <r>
    <s v="ORD-0080"/>
    <d v="2026-02-28T00:00:00"/>
    <x v="1"/>
    <x v="1"/>
    <x v="6"/>
    <s v="Aarav Traders"/>
    <n v="5"/>
    <n v="951.36"/>
    <n v="4756.8"/>
    <n v="3544.6"/>
    <n v="1212.2"/>
    <x v="1"/>
    <x v="10"/>
  </r>
  <r>
    <s v="ORD-0081"/>
    <d v="2026-05-19T00:00:00"/>
    <x v="2"/>
    <x v="2"/>
    <x v="3"/>
    <s v="Futura Works"/>
    <n v="4"/>
    <n v="382.75"/>
    <n v="1531"/>
    <n v="940.49"/>
    <n v="590.51"/>
    <x v="1"/>
    <x v="4"/>
  </r>
  <r>
    <s v="ORD-0082"/>
    <d v="2025-10-19T00:00:00"/>
    <x v="0"/>
    <x v="0"/>
    <x v="0"/>
    <s v="Dawn Enterprises"/>
    <n v="2"/>
    <n v="26.31"/>
    <n v="52.62"/>
    <n v="20"/>
    <n v="32.619999999999997"/>
    <x v="0"/>
    <x v="6"/>
  </r>
  <r>
    <s v="ORD-0083"/>
    <d v="2026-06-05T00:00:00"/>
    <x v="2"/>
    <x v="2"/>
    <x v="9"/>
    <s v="Aarav Traders"/>
    <n v="1"/>
    <n v="290.33999999999997"/>
    <n v="290.33999999999997"/>
    <n v="171.58"/>
    <n v="118.76"/>
    <x v="1"/>
    <x v="5"/>
  </r>
  <r>
    <s v="ORD-0084"/>
    <d v="2026-08-21T00:00:00"/>
    <x v="1"/>
    <x v="0"/>
    <x v="10"/>
    <s v="Blue Sky Retail"/>
    <n v="12"/>
    <n v="17.11"/>
    <n v="205.32"/>
    <n v="74.930000000000007"/>
    <n v="130.38999999999999"/>
    <x v="1"/>
    <x v="7"/>
  </r>
  <r>
    <s v="ORD-0085"/>
    <d v="2025-09-29T00:00:00"/>
    <x v="0"/>
    <x v="1"/>
    <x v="6"/>
    <s v="Harbor Sales"/>
    <n v="2"/>
    <n v="1000.75"/>
    <n v="2001.5"/>
    <n v="1567.56"/>
    <n v="433.94"/>
    <x v="0"/>
    <x v="11"/>
  </r>
  <r>
    <s v="ORD-0086"/>
    <d v="2026-07-21T00:00:00"/>
    <x v="3"/>
    <x v="0"/>
    <x v="1"/>
    <s v="Futura Works"/>
    <n v="12"/>
    <n v="41.46"/>
    <n v="497.52"/>
    <n v="232.73"/>
    <n v="264.79000000000002"/>
    <x v="1"/>
    <x v="8"/>
  </r>
  <r>
    <s v="ORD-0087"/>
    <d v="2025-09-21T00:00:00"/>
    <x v="3"/>
    <x v="2"/>
    <x v="9"/>
    <s v="Dawn Enterprises"/>
    <n v="3"/>
    <n v="260.23"/>
    <n v="780.69"/>
    <n v="459.91"/>
    <n v="320.77999999999997"/>
    <x v="0"/>
    <x v="11"/>
  </r>
  <r>
    <s v="ORD-0088"/>
    <d v="2026-01-02T00:00:00"/>
    <x v="3"/>
    <x v="0"/>
    <x v="1"/>
    <s v="Harbor Sales"/>
    <n v="4"/>
    <n v="43.55"/>
    <n v="174.2"/>
    <n v="81.48"/>
    <n v="92.72"/>
    <x v="1"/>
    <x v="1"/>
  </r>
  <r>
    <s v="ORD-0089"/>
    <d v="2026-04-25T00:00:00"/>
    <x v="3"/>
    <x v="1"/>
    <x v="11"/>
    <s v="Harbor Sales"/>
    <n v="4"/>
    <n v="295.07"/>
    <n v="1180.28"/>
    <n v="848.99"/>
    <n v="331.29"/>
    <x v="1"/>
    <x v="3"/>
  </r>
  <r>
    <s v="ORD-0090"/>
    <d v="2025-09-10T00:00:00"/>
    <x v="3"/>
    <x v="1"/>
    <x v="4"/>
    <s v="Futura Works"/>
    <n v="3"/>
    <n v="238.97"/>
    <n v="716.91"/>
    <n v="445.48"/>
    <n v="271.43"/>
    <x v="0"/>
    <x v="11"/>
  </r>
  <r>
    <s v="ORD-0091"/>
    <d v="2025-04-27T00:00:00"/>
    <x v="3"/>
    <x v="0"/>
    <x v="10"/>
    <s v="Futura Works"/>
    <n v="9"/>
    <n v="15.77"/>
    <n v="141.93"/>
    <n v="55.53"/>
    <n v="86.4"/>
    <x v="0"/>
    <x v="3"/>
  </r>
  <r>
    <s v="ORD-0092"/>
    <d v="2025-06-12T00:00:00"/>
    <x v="1"/>
    <x v="2"/>
    <x v="5"/>
    <s v="Aarav Traders"/>
    <n v="5"/>
    <n v="564.37"/>
    <n v="2821.85"/>
    <n v="1917.47"/>
    <n v="904.38"/>
    <x v="0"/>
    <x v="5"/>
  </r>
  <r>
    <s v="ORD-0093"/>
    <d v="2026-03-16T00:00:00"/>
    <x v="2"/>
    <x v="0"/>
    <x v="1"/>
    <s v="Evergreen Mart"/>
    <n v="12"/>
    <n v="40.57"/>
    <n v="486.84"/>
    <n v="243.35"/>
    <n v="243.49"/>
    <x v="1"/>
    <x v="9"/>
  </r>
  <r>
    <s v="ORD-0094"/>
    <d v="2025-01-04T00:00:00"/>
    <x v="3"/>
    <x v="2"/>
    <x v="3"/>
    <s v="Aarav Traders"/>
    <n v="4"/>
    <n v="370.49"/>
    <n v="1481.96"/>
    <n v="929.78"/>
    <n v="552.17999999999995"/>
    <x v="0"/>
    <x v="1"/>
  </r>
  <r>
    <s v="ORD-0095"/>
    <d v="2026-05-09T00:00:00"/>
    <x v="3"/>
    <x v="1"/>
    <x v="2"/>
    <s v="Aarav Traders"/>
    <n v="2"/>
    <n v="54.85"/>
    <n v="109.7"/>
    <n v="51.19"/>
    <n v="58.51"/>
    <x v="1"/>
    <x v="4"/>
  </r>
  <r>
    <s v="ORD-0096"/>
    <d v="2025-05-26T00:00:00"/>
    <x v="3"/>
    <x v="2"/>
    <x v="9"/>
    <s v="Evergreen Mart"/>
    <n v="3"/>
    <n v="276.31"/>
    <n v="828.93"/>
    <n v="480.97"/>
    <n v="347.96"/>
    <x v="0"/>
    <x v="4"/>
  </r>
  <r>
    <s v="ORD-0097"/>
    <d v="2025-11-17T00:00:00"/>
    <x v="2"/>
    <x v="0"/>
    <x v="10"/>
    <s v="Futura Works"/>
    <n v="12"/>
    <n v="20.29"/>
    <n v="243.48"/>
    <n v="85.45"/>
    <n v="158.03"/>
    <x v="0"/>
    <x v="2"/>
  </r>
  <r>
    <s v="ORD-0098"/>
    <d v="2026-05-20T00:00:00"/>
    <x v="3"/>
    <x v="0"/>
    <x v="10"/>
    <s v="Futura Works"/>
    <n v="5"/>
    <n v="18.3"/>
    <n v="91.5"/>
    <n v="37.97"/>
    <n v="53.53"/>
    <x v="1"/>
    <x v="4"/>
  </r>
  <r>
    <s v="ORD-0099"/>
    <d v="2025-05-24T00:00:00"/>
    <x v="0"/>
    <x v="1"/>
    <x v="4"/>
    <s v="Blue Sky Retail"/>
    <n v="2"/>
    <n v="236.08"/>
    <n v="472.16"/>
    <n v="297.06"/>
    <n v="175.1"/>
    <x v="0"/>
    <x v="4"/>
  </r>
  <r>
    <s v="ORD-0100"/>
    <d v="2025-11-17T00:00:00"/>
    <x v="2"/>
    <x v="0"/>
    <x v="1"/>
    <s v="Crescent Stores"/>
    <n v="10"/>
    <n v="42.11"/>
    <n v="421.1"/>
    <n v="206.74"/>
    <n v="214.36"/>
    <x v="0"/>
    <x v="2"/>
  </r>
  <r>
    <s v="ORD-0101"/>
    <d v="2025-07-09T00:00:00"/>
    <x v="0"/>
    <x v="2"/>
    <x v="3"/>
    <s v="Dawn Enterprises"/>
    <n v="4"/>
    <n v="371.14"/>
    <n v="1484.56"/>
    <n v="960.36"/>
    <n v="524.20000000000005"/>
    <x v="0"/>
    <x v="8"/>
  </r>
  <r>
    <s v="ORD-0102"/>
    <d v="2025-04-14T00:00:00"/>
    <x v="2"/>
    <x v="0"/>
    <x v="1"/>
    <s v="Dawn Enterprises"/>
    <n v="11"/>
    <n v="41.19"/>
    <n v="453.09"/>
    <n v="216.15"/>
    <n v="236.94"/>
    <x v="0"/>
    <x v="3"/>
  </r>
  <r>
    <s v="ORD-0103"/>
    <d v="2025-06-20T00:00:00"/>
    <x v="1"/>
    <x v="2"/>
    <x v="5"/>
    <s v="Greenfield Co."/>
    <n v="3"/>
    <n v="562.55999999999995"/>
    <n v="1687.68"/>
    <n v="1048.52"/>
    <n v="639.16"/>
    <x v="0"/>
    <x v="5"/>
  </r>
  <r>
    <s v="ORD-0104"/>
    <d v="2025-10-20T00:00:00"/>
    <x v="2"/>
    <x v="2"/>
    <x v="9"/>
    <s v="Futura Works"/>
    <n v="1"/>
    <n v="283.56"/>
    <n v="283.56"/>
    <n v="171.57"/>
    <n v="111.99"/>
    <x v="0"/>
    <x v="6"/>
  </r>
  <r>
    <s v="ORD-0105"/>
    <d v="2025-08-30T00:00:00"/>
    <x v="0"/>
    <x v="1"/>
    <x v="11"/>
    <s v="Aarav Traders"/>
    <n v="4"/>
    <n v="286.76"/>
    <n v="1147.04"/>
    <n v="823.44"/>
    <n v="323.60000000000002"/>
    <x v="0"/>
    <x v="7"/>
  </r>
  <r>
    <s v="ORD-0106"/>
    <d v="2025-12-12T00:00:00"/>
    <x v="2"/>
    <x v="2"/>
    <x v="3"/>
    <s v="Dawn Enterprises"/>
    <n v="2"/>
    <n v="385.13"/>
    <n v="770.26"/>
    <n v="454.82"/>
    <n v="315.44"/>
    <x v="0"/>
    <x v="0"/>
  </r>
  <r>
    <s v="ORD-0107"/>
    <d v="2025-08-22T00:00:00"/>
    <x v="2"/>
    <x v="0"/>
    <x v="10"/>
    <s v="Futura Works"/>
    <n v="2"/>
    <n v="18.87"/>
    <n v="37.74"/>
    <n v="14.62"/>
    <n v="23.12"/>
    <x v="0"/>
    <x v="7"/>
  </r>
  <r>
    <s v="ORD-0108"/>
    <d v="2025-12-09T00:00:00"/>
    <x v="1"/>
    <x v="1"/>
    <x v="11"/>
    <s v="Crescent Stores"/>
    <n v="1"/>
    <n v="352.13"/>
    <n v="352.13"/>
    <n v="263.18"/>
    <n v="88.95"/>
    <x v="0"/>
    <x v="0"/>
  </r>
  <r>
    <s v="ORD-0109"/>
    <d v="2026-05-18T00:00:00"/>
    <x v="0"/>
    <x v="1"/>
    <x v="6"/>
    <s v="Blue Sky Retail"/>
    <n v="1"/>
    <n v="981.13"/>
    <n v="981.13"/>
    <n v="730.26"/>
    <n v="250.87"/>
    <x v="1"/>
    <x v="4"/>
  </r>
  <r>
    <s v="ORD-0110"/>
    <d v="2025-07-05T00:00:00"/>
    <x v="0"/>
    <x v="2"/>
    <x v="3"/>
    <s v="Futura Works"/>
    <n v="3"/>
    <n v="370.72"/>
    <n v="1112.1600000000001"/>
    <n v="664.54"/>
    <n v="447.62"/>
    <x v="0"/>
    <x v="8"/>
  </r>
  <r>
    <s v="ORD-0111"/>
    <d v="2026-04-30T00:00:00"/>
    <x v="3"/>
    <x v="2"/>
    <x v="3"/>
    <s v="Greenfield Co."/>
    <n v="5"/>
    <n v="463.68"/>
    <n v="2318.4"/>
    <n v="1406.82"/>
    <n v="911.58"/>
    <x v="1"/>
    <x v="3"/>
  </r>
  <r>
    <s v="ORD-0112"/>
    <d v="2025-05-29T00:00:00"/>
    <x v="0"/>
    <x v="1"/>
    <x v="2"/>
    <s v="Crescent Stores"/>
    <n v="2"/>
    <n v="61.1"/>
    <n v="122.2"/>
    <n v="49.49"/>
    <n v="72.709999999999994"/>
    <x v="0"/>
    <x v="4"/>
  </r>
  <r>
    <s v="ORD-0113"/>
    <d v="2025-09-15T00:00:00"/>
    <x v="3"/>
    <x v="0"/>
    <x v="0"/>
    <s v="Greenfield Co."/>
    <n v="1"/>
    <n v="28.42"/>
    <n v="28.42"/>
    <n v="11.85"/>
    <n v="16.57"/>
    <x v="0"/>
    <x v="11"/>
  </r>
  <r>
    <s v="ORD-0114"/>
    <d v="2026-06-01T00:00:00"/>
    <x v="0"/>
    <x v="1"/>
    <x v="4"/>
    <s v="Crescent Stores"/>
    <n v="3"/>
    <n v="226.84"/>
    <n v="680.52"/>
    <n v="438.31"/>
    <n v="242.21"/>
    <x v="1"/>
    <x v="5"/>
  </r>
  <r>
    <s v="ORD-0115"/>
    <d v="2026-04-02T00:00:00"/>
    <x v="2"/>
    <x v="2"/>
    <x v="3"/>
    <s v="Dawn Enterprises"/>
    <n v="4"/>
    <n v="376.95"/>
    <n v="1507.8"/>
    <n v="939.34"/>
    <n v="568.46"/>
    <x v="1"/>
    <x v="3"/>
  </r>
  <r>
    <s v="ORD-0116"/>
    <d v="2025-06-26T00:00:00"/>
    <x v="1"/>
    <x v="1"/>
    <x v="2"/>
    <s v="Blue Sky Retail"/>
    <n v="1"/>
    <n v="54.45"/>
    <n v="54.45"/>
    <n v="24.13"/>
    <n v="30.32"/>
    <x v="0"/>
    <x v="5"/>
  </r>
  <r>
    <s v="ORD-0117"/>
    <d v="2025-02-21T00:00:00"/>
    <x v="0"/>
    <x v="1"/>
    <x v="4"/>
    <s v="Blue Sky Retail"/>
    <n v="2"/>
    <n v="211.73"/>
    <n v="423.46"/>
    <n v="267.66000000000003"/>
    <n v="155.80000000000001"/>
    <x v="0"/>
    <x v="10"/>
  </r>
  <r>
    <s v="ORD-0118"/>
    <d v="2025-04-04T00:00:00"/>
    <x v="0"/>
    <x v="0"/>
    <x v="10"/>
    <s v="Greenfield Co."/>
    <n v="5"/>
    <n v="18.940000000000001"/>
    <n v="94.7"/>
    <n v="35.74"/>
    <n v="58.96"/>
    <x v="0"/>
    <x v="3"/>
  </r>
  <r>
    <s v="ORD-0119"/>
    <d v="2025-09-04T00:00:00"/>
    <x v="1"/>
    <x v="2"/>
    <x v="7"/>
    <s v="Futura Works"/>
    <n v="2"/>
    <n v="163.80000000000001"/>
    <n v="327.60000000000002"/>
    <n v="183.71"/>
    <n v="143.88999999999999"/>
    <x v="0"/>
    <x v="11"/>
  </r>
  <r>
    <s v="ORD-0120"/>
    <d v="2026-07-02T00:00:00"/>
    <x v="1"/>
    <x v="1"/>
    <x v="2"/>
    <s v="Aarav Traders"/>
    <n v="3"/>
    <n v="60.91"/>
    <n v="182.73"/>
    <n v="76.959999999999994"/>
    <n v="105.77"/>
    <x v="1"/>
    <x v="8"/>
  </r>
  <r>
    <s v="ORD-0121"/>
    <d v="2025-05-08T00:00:00"/>
    <x v="3"/>
    <x v="1"/>
    <x v="11"/>
    <s v="Evergreen Mart"/>
    <n v="1"/>
    <n v="303.62"/>
    <n v="303.62"/>
    <n v="215.06"/>
    <n v="88.56"/>
    <x v="0"/>
    <x v="4"/>
  </r>
  <r>
    <s v="ORD-0122"/>
    <d v="2026-06-22T00:00:00"/>
    <x v="1"/>
    <x v="1"/>
    <x v="6"/>
    <s v="Evergreen Mart"/>
    <n v="4"/>
    <n v="828.72"/>
    <n v="3314.88"/>
    <n v="2643.09"/>
    <n v="671.79"/>
    <x v="1"/>
    <x v="5"/>
  </r>
  <r>
    <s v="ORD-0123"/>
    <d v="2026-01-09T00:00:00"/>
    <x v="2"/>
    <x v="0"/>
    <x v="8"/>
    <s v="Futura Works"/>
    <n v="1"/>
    <n v="12.55"/>
    <n v="12.55"/>
    <n v="4.6100000000000003"/>
    <n v="7.94"/>
    <x v="1"/>
    <x v="1"/>
  </r>
  <r>
    <s v="ORD-0124"/>
    <d v="2025-09-24T00:00:00"/>
    <x v="2"/>
    <x v="1"/>
    <x v="4"/>
    <s v="Harbor Sales"/>
    <n v="3"/>
    <n v="188.52"/>
    <n v="565.55999999999995"/>
    <n v="367.42"/>
    <n v="198.14"/>
    <x v="0"/>
    <x v="11"/>
  </r>
  <r>
    <s v="ORD-0125"/>
    <d v="2025-09-27T00:00:00"/>
    <x v="2"/>
    <x v="2"/>
    <x v="3"/>
    <s v="Blue Sky Retail"/>
    <n v="5"/>
    <n v="417.64"/>
    <n v="2088.1999999999998"/>
    <n v="1247.6600000000001"/>
    <n v="840.54"/>
    <x v="0"/>
    <x v="11"/>
  </r>
  <r>
    <s v="ORD-0126"/>
    <d v="2026-08-14T00:00:00"/>
    <x v="1"/>
    <x v="2"/>
    <x v="7"/>
    <s v="Aarav Traders"/>
    <n v="1"/>
    <n v="156.30000000000001"/>
    <n v="156.30000000000001"/>
    <n v="83.6"/>
    <n v="72.7"/>
    <x v="1"/>
    <x v="7"/>
  </r>
  <r>
    <s v="ORD-0127"/>
    <d v="2026-05-19T00:00:00"/>
    <x v="0"/>
    <x v="0"/>
    <x v="8"/>
    <s v="Blue Sky Retail"/>
    <n v="12"/>
    <n v="12.02"/>
    <n v="144.24"/>
    <n v="48.78"/>
    <n v="95.46"/>
    <x v="1"/>
    <x v="4"/>
  </r>
  <r>
    <s v="ORD-0128"/>
    <d v="2026-04-05T00:00:00"/>
    <x v="1"/>
    <x v="2"/>
    <x v="7"/>
    <s v="Futura Works"/>
    <n v="4"/>
    <n v="172.1"/>
    <n v="688.4"/>
    <n v="375.97"/>
    <n v="312.43"/>
    <x v="1"/>
    <x v="3"/>
  </r>
  <r>
    <s v="ORD-0129"/>
    <d v="2025-04-15T00:00:00"/>
    <x v="3"/>
    <x v="2"/>
    <x v="9"/>
    <s v="Dawn Enterprises"/>
    <n v="2"/>
    <n v="264.98"/>
    <n v="529.96"/>
    <n v="315.05"/>
    <n v="214.91"/>
    <x v="0"/>
    <x v="3"/>
  </r>
  <r>
    <s v="ORD-0130"/>
    <d v="2025-02-07T00:00:00"/>
    <x v="3"/>
    <x v="0"/>
    <x v="8"/>
    <s v="Aarav Traders"/>
    <n v="10"/>
    <n v="11.91"/>
    <n v="119.1"/>
    <n v="43.06"/>
    <n v="76.040000000000006"/>
    <x v="0"/>
    <x v="10"/>
  </r>
  <r>
    <s v="ORD-0131"/>
    <d v="2026-01-29T00:00:00"/>
    <x v="1"/>
    <x v="2"/>
    <x v="7"/>
    <s v="Dawn Enterprises"/>
    <n v="1"/>
    <n v="170.16"/>
    <n v="170.16"/>
    <n v="101.04"/>
    <n v="69.12"/>
    <x v="1"/>
    <x v="1"/>
  </r>
  <r>
    <s v="ORD-0132"/>
    <d v="2025-07-09T00:00:00"/>
    <x v="0"/>
    <x v="0"/>
    <x v="0"/>
    <s v="Aarav Traders"/>
    <n v="11"/>
    <n v="24.94"/>
    <n v="274.33999999999997"/>
    <n v="115.23"/>
    <n v="159.11000000000001"/>
    <x v="0"/>
    <x v="8"/>
  </r>
  <r>
    <s v="ORD-0133"/>
    <d v="2025-09-11T00:00:00"/>
    <x v="3"/>
    <x v="1"/>
    <x v="4"/>
    <s v="Dawn Enterprises"/>
    <n v="2"/>
    <n v="181.98"/>
    <n v="363.96"/>
    <n v="235.66"/>
    <n v="128.30000000000001"/>
    <x v="0"/>
    <x v="11"/>
  </r>
  <r>
    <s v="ORD-0134"/>
    <d v="2026-04-01T00:00:00"/>
    <x v="2"/>
    <x v="1"/>
    <x v="11"/>
    <s v="Aarav Traders"/>
    <n v="5"/>
    <n v="352.19"/>
    <n v="1760.95"/>
    <n v="1257.58"/>
    <n v="503.37"/>
    <x v="1"/>
    <x v="3"/>
  </r>
  <r>
    <s v="ORD-0135"/>
    <d v="2026-06-08T00:00:00"/>
    <x v="3"/>
    <x v="2"/>
    <x v="5"/>
    <s v="Blue Sky Retail"/>
    <n v="1"/>
    <n v="548.92999999999995"/>
    <n v="548.92999999999995"/>
    <n v="329.37"/>
    <n v="219.56"/>
    <x v="1"/>
    <x v="5"/>
  </r>
  <r>
    <s v="ORD-0136"/>
    <d v="2026-01-03T00:00:00"/>
    <x v="2"/>
    <x v="1"/>
    <x v="6"/>
    <s v="Aarav Traders"/>
    <n v="2"/>
    <n v="933.27"/>
    <n v="1866.54"/>
    <n v="1477.86"/>
    <n v="388.68"/>
    <x v="1"/>
    <x v="1"/>
  </r>
  <r>
    <s v="ORD-0137"/>
    <d v="2025-02-12T00:00:00"/>
    <x v="1"/>
    <x v="0"/>
    <x v="1"/>
    <s v="Blue Sky Retail"/>
    <n v="5"/>
    <n v="41.76"/>
    <n v="208.8"/>
    <n v="93.12"/>
    <n v="115.68"/>
    <x v="0"/>
    <x v="10"/>
  </r>
  <r>
    <s v="ORD-0138"/>
    <d v="2026-02-28T00:00:00"/>
    <x v="1"/>
    <x v="1"/>
    <x v="4"/>
    <s v="Futura Works"/>
    <n v="5"/>
    <n v="197.39"/>
    <n v="986.95"/>
    <n v="658.35"/>
    <n v="328.6"/>
    <x v="1"/>
    <x v="10"/>
  </r>
  <r>
    <s v="ORD-0139"/>
    <d v="2026-08-16T00:00:00"/>
    <x v="0"/>
    <x v="1"/>
    <x v="11"/>
    <s v="Futura Works"/>
    <n v="3"/>
    <n v="308.74"/>
    <n v="926.22"/>
    <n v="654.79999999999995"/>
    <n v="271.42"/>
    <x v="1"/>
    <x v="7"/>
  </r>
  <r>
    <s v="ORD-0140"/>
    <d v="2026-01-14T00:00:00"/>
    <x v="1"/>
    <x v="1"/>
    <x v="2"/>
    <s v="Dawn Enterprises"/>
    <n v="1"/>
    <n v="56.98"/>
    <n v="56.98"/>
    <n v="24.52"/>
    <n v="32.46"/>
    <x v="1"/>
    <x v="1"/>
  </r>
  <r>
    <s v="ORD-0141"/>
    <d v="2026-01-17T00:00:00"/>
    <x v="0"/>
    <x v="1"/>
    <x v="4"/>
    <s v="Blue Sky Retail"/>
    <n v="1"/>
    <n v="206.76"/>
    <n v="206.76"/>
    <n v="127.37"/>
    <n v="79.39"/>
    <x v="1"/>
    <x v="1"/>
  </r>
  <r>
    <s v="ORD-0142"/>
    <d v="2026-08-24T00:00:00"/>
    <x v="2"/>
    <x v="1"/>
    <x v="11"/>
    <s v="Crescent Stores"/>
    <n v="3"/>
    <n v="309.48"/>
    <n v="928.44"/>
    <n v="694.15"/>
    <n v="234.29"/>
    <x v="1"/>
    <x v="7"/>
  </r>
  <r>
    <s v="ORD-0143"/>
    <d v="2025-12-18T00:00:00"/>
    <x v="3"/>
    <x v="1"/>
    <x v="4"/>
    <s v="Crescent Stores"/>
    <n v="5"/>
    <n v="214.07"/>
    <n v="1070.3499999999999"/>
    <n v="703.15"/>
    <n v="367.2"/>
    <x v="0"/>
    <x v="0"/>
  </r>
  <r>
    <s v="ORD-0144"/>
    <d v="2025-07-19T00:00:00"/>
    <x v="3"/>
    <x v="2"/>
    <x v="5"/>
    <s v="Greenfield Co."/>
    <n v="4"/>
    <n v="451.83"/>
    <n v="1807.32"/>
    <n v="1214.77"/>
    <n v="592.54999999999995"/>
    <x v="0"/>
    <x v="8"/>
  </r>
  <r>
    <s v="ORD-0145"/>
    <d v="2026-06-05T00:00:00"/>
    <x v="2"/>
    <x v="2"/>
    <x v="5"/>
    <s v="Greenfield Co."/>
    <n v="5"/>
    <n v="578.19000000000005"/>
    <n v="2890.95"/>
    <n v="1765.91"/>
    <n v="1125.04"/>
    <x v="1"/>
    <x v="5"/>
  </r>
  <r>
    <s v="ORD-0146"/>
    <d v="2025-07-27T00:00:00"/>
    <x v="1"/>
    <x v="2"/>
    <x v="9"/>
    <s v="Harbor Sales"/>
    <n v="2"/>
    <n v="273.45"/>
    <n v="546.9"/>
    <n v="310.26"/>
    <n v="236.64"/>
    <x v="0"/>
    <x v="8"/>
  </r>
  <r>
    <s v="ORD-0147"/>
    <d v="2025-01-22T00:00:00"/>
    <x v="2"/>
    <x v="2"/>
    <x v="3"/>
    <s v="Blue Sky Retail"/>
    <n v="2"/>
    <n v="401.62"/>
    <n v="803.24"/>
    <n v="506.34"/>
    <n v="296.89999999999998"/>
    <x v="0"/>
    <x v="1"/>
  </r>
  <r>
    <s v="ORD-0148"/>
    <d v="2025-08-17T00:00:00"/>
    <x v="1"/>
    <x v="2"/>
    <x v="9"/>
    <s v="Crescent Stores"/>
    <n v="3"/>
    <n v="286.77999999999997"/>
    <n v="860.34"/>
    <n v="477.43"/>
    <n v="382.91"/>
    <x v="0"/>
    <x v="7"/>
  </r>
  <r>
    <s v="ORD-0149"/>
    <d v="2025-02-05T00:00:00"/>
    <x v="0"/>
    <x v="2"/>
    <x v="9"/>
    <s v="Harbor Sales"/>
    <n v="1"/>
    <n v="272.63"/>
    <n v="272.63"/>
    <n v="154.4"/>
    <n v="118.23"/>
    <x v="0"/>
    <x v="10"/>
  </r>
  <r>
    <s v="ORD-0150"/>
    <d v="2025-01-23T00:00:00"/>
    <x v="1"/>
    <x v="0"/>
    <x v="0"/>
    <s v="Futura Works"/>
    <n v="9"/>
    <n v="21.96"/>
    <n v="197.64"/>
    <n v="85.44"/>
    <n v="112.2"/>
    <x v="0"/>
    <x v="1"/>
  </r>
  <r>
    <s v="ORD-0151"/>
    <d v="2025-08-06T00:00:00"/>
    <x v="2"/>
    <x v="0"/>
    <x v="0"/>
    <s v="Crescent Stores"/>
    <n v="2"/>
    <n v="28.16"/>
    <n v="56.32"/>
    <n v="22.4"/>
    <n v="33.92"/>
    <x v="0"/>
    <x v="7"/>
  </r>
  <r>
    <s v="ORD-0152"/>
    <d v="2025-12-15T00:00:00"/>
    <x v="3"/>
    <x v="0"/>
    <x v="1"/>
    <s v="Futura Works"/>
    <n v="9"/>
    <n v="51.29"/>
    <n v="461.61"/>
    <n v="213.11"/>
    <n v="248.5"/>
    <x v="0"/>
    <x v="0"/>
  </r>
  <r>
    <s v="ORD-0153"/>
    <d v="2026-05-29T00:00:00"/>
    <x v="0"/>
    <x v="0"/>
    <x v="0"/>
    <s v="Crescent Stores"/>
    <n v="6"/>
    <n v="23.25"/>
    <n v="139.5"/>
    <n v="59.91"/>
    <n v="79.59"/>
    <x v="1"/>
    <x v="4"/>
  </r>
  <r>
    <s v="ORD-0154"/>
    <d v="2026-02-04T00:00:00"/>
    <x v="1"/>
    <x v="2"/>
    <x v="7"/>
    <s v="Harbor Sales"/>
    <n v="5"/>
    <n v="185.35"/>
    <n v="926.75"/>
    <n v="535.86"/>
    <n v="390.89"/>
    <x v="1"/>
    <x v="10"/>
  </r>
  <r>
    <s v="ORD-0155"/>
    <d v="2025-06-07T00:00:00"/>
    <x v="1"/>
    <x v="2"/>
    <x v="3"/>
    <s v="Crescent Stores"/>
    <n v="1"/>
    <n v="364.96"/>
    <n v="364.96"/>
    <n v="214.14"/>
    <n v="150.82"/>
    <x v="0"/>
    <x v="5"/>
  </r>
  <r>
    <s v="ORD-0156"/>
    <d v="2026-05-13T00:00:00"/>
    <x v="1"/>
    <x v="1"/>
    <x v="11"/>
    <s v="Crescent Stores"/>
    <n v="4"/>
    <n v="308.95"/>
    <n v="1235.8"/>
    <n v="934.9"/>
    <n v="300.89999999999998"/>
    <x v="1"/>
    <x v="4"/>
  </r>
  <r>
    <s v="ORD-0157"/>
    <d v="2026-01-14T00:00:00"/>
    <x v="3"/>
    <x v="1"/>
    <x v="4"/>
    <s v="Harbor Sales"/>
    <n v="5"/>
    <n v="204.36"/>
    <n v="1021.8"/>
    <n v="631.94000000000005"/>
    <n v="389.86"/>
    <x v="1"/>
    <x v="1"/>
  </r>
  <r>
    <s v="ORD-0158"/>
    <d v="2025-01-08T00:00:00"/>
    <x v="1"/>
    <x v="1"/>
    <x v="6"/>
    <s v="Evergreen Mart"/>
    <n v="1"/>
    <n v="946.73"/>
    <n v="946.73"/>
    <n v="730.41"/>
    <n v="216.32"/>
    <x v="0"/>
    <x v="1"/>
  </r>
  <r>
    <s v="ORD-0159"/>
    <d v="2026-03-10T00:00:00"/>
    <x v="1"/>
    <x v="2"/>
    <x v="9"/>
    <s v="Dawn Enterprises"/>
    <n v="2"/>
    <n v="282.73"/>
    <n v="565.46"/>
    <n v="352.34"/>
    <n v="213.12"/>
    <x v="1"/>
    <x v="9"/>
  </r>
  <r>
    <s v="ORD-0160"/>
    <d v="2025-10-16T00:00:00"/>
    <x v="2"/>
    <x v="2"/>
    <x v="7"/>
    <s v="Harbor Sales"/>
    <n v="2"/>
    <n v="163.36000000000001"/>
    <n v="326.72000000000003"/>
    <n v="182.29"/>
    <n v="144.43"/>
    <x v="0"/>
    <x v="6"/>
  </r>
  <r>
    <s v="ORD-0161"/>
    <d v="2025-04-17T00:00:00"/>
    <x v="0"/>
    <x v="0"/>
    <x v="1"/>
    <s v="Harbor Sales"/>
    <n v="10"/>
    <n v="48.67"/>
    <n v="486.7"/>
    <n v="206.55"/>
    <n v="280.14999999999998"/>
    <x v="0"/>
    <x v="3"/>
  </r>
  <r>
    <s v="ORD-0162"/>
    <d v="2026-06-03T00:00:00"/>
    <x v="2"/>
    <x v="2"/>
    <x v="5"/>
    <s v="Aarav Traders"/>
    <n v="4"/>
    <n v="515.09"/>
    <n v="2060.36"/>
    <n v="1364.57"/>
    <n v="695.79"/>
    <x v="1"/>
    <x v="5"/>
  </r>
  <r>
    <s v="ORD-0163"/>
    <d v="2025-12-08T00:00:00"/>
    <x v="1"/>
    <x v="1"/>
    <x v="4"/>
    <s v="Harbor Sales"/>
    <n v="2"/>
    <n v="187.19"/>
    <n v="374.38"/>
    <n v="229.96"/>
    <n v="144.41999999999999"/>
    <x v="0"/>
    <x v="0"/>
  </r>
  <r>
    <s v="ORD-0164"/>
    <d v="2025-10-05T00:00:00"/>
    <x v="0"/>
    <x v="2"/>
    <x v="9"/>
    <s v="Crescent Stores"/>
    <n v="2"/>
    <n v="285.82"/>
    <n v="571.64"/>
    <n v="344.14"/>
    <n v="227.5"/>
    <x v="0"/>
    <x v="6"/>
  </r>
  <r>
    <s v="ORD-0165"/>
    <d v="2025-01-27T00:00:00"/>
    <x v="0"/>
    <x v="1"/>
    <x v="6"/>
    <s v="Aarav Traders"/>
    <n v="4"/>
    <n v="828.72"/>
    <n v="3314.88"/>
    <n v="2556.91"/>
    <n v="757.97"/>
    <x v="0"/>
    <x v="1"/>
  </r>
  <r>
    <s v="ORD-0166"/>
    <d v="2025-05-29T00:00:00"/>
    <x v="2"/>
    <x v="0"/>
    <x v="1"/>
    <s v="Harbor Sales"/>
    <n v="8"/>
    <n v="42.02"/>
    <n v="336.16"/>
    <n v="145.13"/>
    <n v="191.03"/>
    <x v="0"/>
    <x v="4"/>
  </r>
  <r>
    <s v="ORD-0167"/>
    <d v="2026-07-29T00:00:00"/>
    <x v="3"/>
    <x v="1"/>
    <x v="6"/>
    <s v="Crescent Stores"/>
    <n v="2"/>
    <n v="1059.25"/>
    <n v="2118.5"/>
    <n v="1660.97"/>
    <n v="457.53"/>
    <x v="1"/>
    <x v="8"/>
  </r>
  <r>
    <s v="ORD-0168"/>
    <d v="2025-10-07T00:00:00"/>
    <x v="2"/>
    <x v="2"/>
    <x v="5"/>
    <s v="Dawn Enterprises"/>
    <n v="2"/>
    <n v="447.49"/>
    <n v="894.98"/>
    <n v="581.58000000000004"/>
    <n v="313.39999999999998"/>
    <x v="0"/>
    <x v="6"/>
  </r>
  <r>
    <s v="ORD-0169"/>
    <d v="2026-01-06T00:00:00"/>
    <x v="2"/>
    <x v="1"/>
    <x v="11"/>
    <s v="Blue Sky Retail"/>
    <n v="4"/>
    <n v="298.29000000000002"/>
    <n v="1193.1600000000001"/>
    <n v="853.6"/>
    <n v="339.56"/>
    <x v="1"/>
    <x v="1"/>
  </r>
  <r>
    <s v="ORD-0170"/>
    <d v="2026-02-18T00:00:00"/>
    <x v="0"/>
    <x v="0"/>
    <x v="10"/>
    <s v="Blue Sky Retail"/>
    <n v="11"/>
    <n v="15.63"/>
    <n v="171.93"/>
    <n v="64.98"/>
    <n v="106.95"/>
    <x v="1"/>
    <x v="10"/>
  </r>
  <r>
    <s v="ORD-0171"/>
    <d v="2026-01-27T00:00:00"/>
    <x v="2"/>
    <x v="0"/>
    <x v="1"/>
    <s v="Harbor Sales"/>
    <n v="10"/>
    <n v="50.41"/>
    <n v="504.1"/>
    <n v="235.76"/>
    <n v="268.33999999999997"/>
    <x v="1"/>
    <x v="1"/>
  </r>
  <r>
    <s v="ORD-0172"/>
    <d v="2025-03-21T00:00:00"/>
    <x v="1"/>
    <x v="2"/>
    <x v="3"/>
    <s v="Harbor Sales"/>
    <n v="3"/>
    <n v="416.81"/>
    <n v="1250.43"/>
    <n v="816.42"/>
    <n v="434.01"/>
    <x v="0"/>
    <x v="9"/>
  </r>
  <r>
    <s v="ORD-0173"/>
    <d v="2025-02-01T00:00:00"/>
    <x v="1"/>
    <x v="1"/>
    <x v="2"/>
    <s v="Evergreen Mart"/>
    <n v="4"/>
    <n v="49.18"/>
    <n v="196.72"/>
    <n v="84.66"/>
    <n v="112.06"/>
    <x v="0"/>
    <x v="10"/>
  </r>
  <r>
    <s v="ORD-0174"/>
    <d v="2025-07-17T00:00:00"/>
    <x v="0"/>
    <x v="0"/>
    <x v="8"/>
    <s v="Evergreen Mart"/>
    <n v="7"/>
    <n v="10.4"/>
    <n v="72.8"/>
    <n v="27.97"/>
    <n v="44.83"/>
    <x v="0"/>
    <x v="8"/>
  </r>
  <r>
    <s v="ORD-0175"/>
    <d v="2025-12-25T00:00:00"/>
    <x v="0"/>
    <x v="1"/>
    <x v="11"/>
    <s v="Greenfield Co."/>
    <n v="2"/>
    <n v="308.16000000000003"/>
    <n v="616.32000000000005"/>
    <n v="447.17"/>
    <n v="169.15"/>
    <x v="0"/>
    <x v="0"/>
  </r>
  <r>
    <s v="ORD-0176"/>
    <d v="2025-03-02T00:00:00"/>
    <x v="3"/>
    <x v="2"/>
    <x v="7"/>
    <s v="Dawn Enterprises"/>
    <n v="1"/>
    <n v="168.21"/>
    <n v="168.21"/>
    <n v="99.29"/>
    <n v="68.92"/>
    <x v="0"/>
    <x v="9"/>
  </r>
  <r>
    <s v="ORD-0177"/>
    <d v="2026-01-16T00:00:00"/>
    <x v="1"/>
    <x v="1"/>
    <x v="6"/>
    <s v="Evergreen Mart"/>
    <n v="3"/>
    <n v="1073.8499999999999"/>
    <n v="3221.55"/>
    <n v="2348.87"/>
    <n v="872.68"/>
    <x v="1"/>
    <x v="1"/>
  </r>
  <r>
    <s v="ORD-0178"/>
    <d v="2026-08-27T00:00:00"/>
    <x v="2"/>
    <x v="1"/>
    <x v="6"/>
    <s v="Harbor Sales"/>
    <n v="1"/>
    <n v="901.03"/>
    <n v="901.03"/>
    <n v="669.93"/>
    <n v="231.1"/>
    <x v="1"/>
    <x v="7"/>
  </r>
  <r>
    <s v="ORD-0179"/>
    <d v="2025-03-08T00:00:00"/>
    <x v="3"/>
    <x v="1"/>
    <x v="11"/>
    <s v="Futura Works"/>
    <n v="3"/>
    <n v="331.88"/>
    <n v="995.64"/>
    <n v="691.41"/>
    <n v="304.23"/>
    <x v="0"/>
    <x v="9"/>
  </r>
  <r>
    <s v="ORD-0180"/>
    <d v="2025-04-05T00:00:00"/>
    <x v="0"/>
    <x v="0"/>
    <x v="8"/>
    <s v="Aarav Traders"/>
    <n v="11"/>
    <n v="13.01"/>
    <n v="143.11000000000001"/>
    <n v="45.89"/>
    <n v="97.22"/>
    <x v="0"/>
    <x v="3"/>
  </r>
  <r>
    <s v="ORD-0181"/>
    <d v="2026-06-23T00:00:00"/>
    <x v="1"/>
    <x v="2"/>
    <x v="3"/>
    <s v="Greenfield Co."/>
    <n v="4"/>
    <n v="422.48"/>
    <n v="1689.92"/>
    <n v="1013.27"/>
    <n v="676.65"/>
    <x v="1"/>
    <x v="5"/>
  </r>
  <r>
    <s v="ORD-0182"/>
    <d v="2026-02-22T00:00:00"/>
    <x v="0"/>
    <x v="2"/>
    <x v="3"/>
    <s v="Aarav Traders"/>
    <n v="5"/>
    <n v="415.12"/>
    <n v="2075.6"/>
    <n v="1228.6600000000001"/>
    <n v="846.94"/>
    <x v="1"/>
    <x v="10"/>
  </r>
  <r>
    <s v="ORD-0183"/>
    <d v="2026-03-03T00:00:00"/>
    <x v="1"/>
    <x v="0"/>
    <x v="0"/>
    <s v="Dawn Enterprises"/>
    <n v="6"/>
    <n v="28.02"/>
    <n v="168.12"/>
    <n v="76.540000000000006"/>
    <n v="91.58"/>
    <x v="1"/>
    <x v="9"/>
  </r>
  <r>
    <s v="ORD-0184"/>
    <d v="2025-01-18T00:00:00"/>
    <x v="1"/>
    <x v="2"/>
    <x v="3"/>
    <s v="Dawn Enterprises"/>
    <n v="1"/>
    <n v="449.47"/>
    <n v="449.47"/>
    <n v="276.14"/>
    <n v="173.33"/>
    <x v="0"/>
    <x v="1"/>
  </r>
  <r>
    <s v="ORD-0185"/>
    <d v="2026-05-22T00:00:00"/>
    <x v="3"/>
    <x v="0"/>
    <x v="10"/>
    <s v="Crescent Stores"/>
    <n v="6"/>
    <n v="17.739999999999998"/>
    <n v="106.44"/>
    <n v="45.12"/>
    <n v="61.32"/>
    <x v="1"/>
    <x v="4"/>
  </r>
  <r>
    <s v="ORD-0186"/>
    <d v="2026-06-14T00:00:00"/>
    <x v="0"/>
    <x v="0"/>
    <x v="8"/>
    <s v="Crescent Stores"/>
    <n v="9"/>
    <n v="11.53"/>
    <n v="103.77"/>
    <n v="38.06"/>
    <n v="65.709999999999994"/>
    <x v="1"/>
    <x v="5"/>
  </r>
  <r>
    <s v="ORD-0187"/>
    <d v="2025-08-25T00:00:00"/>
    <x v="2"/>
    <x v="2"/>
    <x v="7"/>
    <s v="Blue Sky Retail"/>
    <n v="3"/>
    <n v="185.84"/>
    <n v="557.52"/>
    <n v="309.83"/>
    <n v="247.69"/>
    <x v="0"/>
    <x v="7"/>
  </r>
  <r>
    <s v="ORD-0188"/>
    <d v="2025-11-10T00:00:00"/>
    <x v="2"/>
    <x v="1"/>
    <x v="4"/>
    <s v="Aarav Traders"/>
    <n v="4"/>
    <n v="180.78"/>
    <n v="723.12"/>
    <n v="460.85"/>
    <n v="262.27"/>
    <x v="0"/>
    <x v="2"/>
  </r>
  <r>
    <s v="ORD-0189"/>
    <d v="2025-03-09T00:00:00"/>
    <x v="2"/>
    <x v="0"/>
    <x v="8"/>
    <s v="Aarav Traders"/>
    <n v="1"/>
    <n v="13.42"/>
    <n v="13.42"/>
    <n v="5.09"/>
    <n v="8.33"/>
    <x v="0"/>
    <x v="9"/>
  </r>
  <r>
    <s v="ORD-0190"/>
    <d v="2026-04-10T00:00:00"/>
    <x v="1"/>
    <x v="0"/>
    <x v="1"/>
    <s v="Futura Works"/>
    <n v="2"/>
    <n v="44.14"/>
    <n v="88.28"/>
    <n v="37.159999999999997"/>
    <n v="51.12"/>
    <x v="1"/>
    <x v="3"/>
  </r>
  <r>
    <s v="ORD-0191"/>
    <d v="2026-07-21T00:00:00"/>
    <x v="1"/>
    <x v="1"/>
    <x v="11"/>
    <s v="Dawn Enterprises"/>
    <n v="1"/>
    <n v="338.8"/>
    <n v="338.8"/>
    <n v="236.12"/>
    <n v="102.68"/>
    <x v="1"/>
    <x v="8"/>
  </r>
  <r>
    <s v="ORD-0192"/>
    <d v="2026-07-21T00:00:00"/>
    <x v="1"/>
    <x v="1"/>
    <x v="11"/>
    <s v="Greenfield Co."/>
    <n v="3"/>
    <n v="335.65"/>
    <n v="1006.95"/>
    <n v="707.24"/>
    <n v="299.70999999999998"/>
    <x v="1"/>
    <x v="8"/>
  </r>
  <r>
    <s v="ORD-0193"/>
    <d v="2026-02-27T00:00:00"/>
    <x v="2"/>
    <x v="0"/>
    <x v="8"/>
    <s v="Evergreen Mart"/>
    <n v="8"/>
    <n v="13.08"/>
    <n v="104.64"/>
    <n v="41.82"/>
    <n v="62.82"/>
    <x v="1"/>
    <x v="10"/>
  </r>
  <r>
    <s v="ORD-0194"/>
    <d v="2025-07-11T00:00:00"/>
    <x v="1"/>
    <x v="2"/>
    <x v="3"/>
    <s v="Blue Sky Retail"/>
    <n v="2"/>
    <n v="389.74"/>
    <n v="779.48"/>
    <n v="474.67"/>
    <n v="304.81"/>
    <x v="0"/>
    <x v="8"/>
  </r>
  <r>
    <s v="ORD-0195"/>
    <d v="2025-10-20T00:00:00"/>
    <x v="2"/>
    <x v="1"/>
    <x v="4"/>
    <s v="Crescent Stores"/>
    <n v="5"/>
    <n v="196.85"/>
    <n v="984.25"/>
    <n v="602.9"/>
    <n v="381.35"/>
    <x v="0"/>
    <x v="6"/>
  </r>
  <r>
    <s v="ORD-0196"/>
    <d v="2025-03-24T00:00:00"/>
    <x v="1"/>
    <x v="0"/>
    <x v="1"/>
    <s v="Crescent Stores"/>
    <n v="11"/>
    <n v="39.67"/>
    <n v="436.37"/>
    <n v="196.68"/>
    <n v="239.69"/>
    <x v="0"/>
    <x v="9"/>
  </r>
  <r>
    <s v="ORD-0197"/>
    <d v="2026-04-03T00:00:00"/>
    <x v="3"/>
    <x v="2"/>
    <x v="3"/>
    <s v="Crescent Stores"/>
    <n v="5"/>
    <n v="399.23"/>
    <n v="1996.15"/>
    <n v="1272.93"/>
    <n v="723.22"/>
    <x v="1"/>
    <x v="3"/>
  </r>
  <r>
    <s v="ORD-0198"/>
    <d v="2026-03-05T00:00:00"/>
    <x v="3"/>
    <x v="0"/>
    <x v="10"/>
    <s v="Blue Sky Retail"/>
    <n v="1"/>
    <n v="16.2"/>
    <n v="16.2"/>
    <n v="6.6"/>
    <n v="9.6"/>
    <x v="1"/>
    <x v="9"/>
  </r>
  <r>
    <s v="ORD-0199"/>
    <d v="2025-09-15T00:00:00"/>
    <x v="0"/>
    <x v="1"/>
    <x v="4"/>
    <s v="Harbor Sales"/>
    <n v="2"/>
    <n v="213.64"/>
    <n v="427.28"/>
    <n v="290.19"/>
    <n v="137.09"/>
    <x v="0"/>
    <x v="11"/>
  </r>
  <r>
    <s v="ORD-0200"/>
    <d v="2025-12-24T00:00:00"/>
    <x v="0"/>
    <x v="2"/>
    <x v="9"/>
    <s v="Evergreen Mart"/>
    <n v="1"/>
    <n v="300.43"/>
    <n v="300.43"/>
    <n v="167.5"/>
    <n v="132.93"/>
    <x v="0"/>
    <x v="0"/>
  </r>
  <r>
    <s v="ORD-0201"/>
    <d v="2025-12-13T00:00:00"/>
    <x v="3"/>
    <x v="1"/>
    <x v="11"/>
    <s v="Blue Sky Retail"/>
    <n v="5"/>
    <n v="360.73"/>
    <n v="1803.65"/>
    <n v="1231.9100000000001"/>
    <n v="571.74"/>
    <x v="0"/>
    <x v="0"/>
  </r>
  <r>
    <s v="ORD-0202"/>
    <d v="2025-10-16T00:00:00"/>
    <x v="0"/>
    <x v="0"/>
    <x v="10"/>
    <s v="Greenfield Co."/>
    <n v="10"/>
    <n v="18.62"/>
    <n v="186.2"/>
    <n v="77.08"/>
    <n v="109.12"/>
    <x v="0"/>
    <x v="6"/>
  </r>
  <r>
    <s v="ORD-0203"/>
    <d v="2025-11-05T00:00:00"/>
    <x v="3"/>
    <x v="2"/>
    <x v="7"/>
    <s v="Harbor Sales"/>
    <n v="4"/>
    <n v="158.9"/>
    <n v="635.6"/>
    <n v="353.96"/>
    <n v="281.64"/>
    <x v="0"/>
    <x v="2"/>
  </r>
  <r>
    <s v="ORD-0204"/>
    <d v="2025-05-06T00:00:00"/>
    <x v="0"/>
    <x v="0"/>
    <x v="10"/>
    <s v="Futura Works"/>
    <n v="1"/>
    <n v="20.440000000000001"/>
    <n v="20.440000000000001"/>
    <n v="8.69"/>
    <n v="11.75"/>
    <x v="0"/>
    <x v="4"/>
  </r>
  <r>
    <s v="ORD-0205"/>
    <d v="2026-03-28T00:00:00"/>
    <x v="3"/>
    <x v="0"/>
    <x v="1"/>
    <s v="Blue Sky Retail"/>
    <n v="4"/>
    <n v="43.43"/>
    <n v="173.72"/>
    <n v="83.28"/>
    <n v="90.44"/>
    <x v="1"/>
    <x v="9"/>
  </r>
  <r>
    <s v="ORD-0206"/>
    <d v="2026-02-02T00:00:00"/>
    <x v="1"/>
    <x v="0"/>
    <x v="10"/>
    <s v="Aarav Traders"/>
    <n v="5"/>
    <n v="17.309999999999999"/>
    <n v="86.55"/>
    <n v="31.07"/>
    <n v="55.48"/>
    <x v="1"/>
    <x v="10"/>
  </r>
  <r>
    <s v="ORD-0207"/>
    <d v="2025-11-15T00:00:00"/>
    <x v="2"/>
    <x v="1"/>
    <x v="6"/>
    <s v="Crescent Stores"/>
    <n v="4"/>
    <n v="834.67"/>
    <n v="3338.68"/>
    <n v="2466.64"/>
    <n v="872.04"/>
    <x v="0"/>
    <x v="2"/>
  </r>
  <r>
    <s v="ORD-0208"/>
    <d v="2026-08-16T00:00:00"/>
    <x v="0"/>
    <x v="2"/>
    <x v="7"/>
    <s v="Futura Works"/>
    <n v="4"/>
    <n v="166.34"/>
    <n v="665.36"/>
    <n v="365.42"/>
    <n v="299.94"/>
    <x v="1"/>
    <x v="7"/>
  </r>
  <r>
    <s v="ORD-0209"/>
    <d v="2025-01-31T00:00:00"/>
    <x v="3"/>
    <x v="0"/>
    <x v="1"/>
    <s v="Dawn Enterprises"/>
    <n v="1"/>
    <n v="44.65"/>
    <n v="44.65"/>
    <n v="19.489999999999998"/>
    <n v="25.16"/>
    <x v="0"/>
    <x v="1"/>
  </r>
  <r>
    <s v="ORD-0210"/>
    <d v="2025-10-20T00:00:00"/>
    <x v="1"/>
    <x v="1"/>
    <x v="4"/>
    <s v="Dawn Enterprises"/>
    <n v="1"/>
    <n v="194.7"/>
    <n v="194.7"/>
    <n v="130.96"/>
    <n v="63.74"/>
    <x v="0"/>
    <x v="6"/>
  </r>
  <r>
    <s v="ORD-0211"/>
    <d v="2025-02-18T00:00:00"/>
    <x v="1"/>
    <x v="1"/>
    <x v="11"/>
    <s v="Dawn Enterprises"/>
    <n v="2"/>
    <n v="360.35"/>
    <n v="720.7"/>
    <n v="495.67"/>
    <n v="225.03"/>
    <x v="0"/>
    <x v="10"/>
  </r>
  <r>
    <s v="ORD-0212"/>
    <d v="2025-12-10T00:00:00"/>
    <x v="1"/>
    <x v="0"/>
    <x v="8"/>
    <s v="Dawn Enterprises"/>
    <n v="7"/>
    <n v="12.37"/>
    <n v="86.59"/>
    <n v="32.68"/>
    <n v="53.91"/>
    <x v="0"/>
    <x v="0"/>
  </r>
  <r>
    <s v="ORD-0213"/>
    <d v="2026-02-09T00:00:00"/>
    <x v="1"/>
    <x v="2"/>
    <x v="5"/>
    <s v="Harbor Sales"/>
    <n v="1"/>
    <n v="514.04999999999995"/>
    <n v="514.04999999999995"/>
    <n v="347.84"/>
    <n v="166.21"/>
    <x v="1"/>
    <x v="10"/>
  </r>
  <r>
    <s v="ORD-0214"/>
    <d v="2025-12-29T00:00:00"/>
    <x v="0"/>
    <x v="2"/>
    <x v="7"/>
    <s v="Dawn Enterprises"/>
    <n v="4"/>
    <n v="191.65"/>
    <n v="766.6"/>
    <n v="423.21"/>
    <n v="343.39"/>
    <x v="0"/>
    <x v="0"/>
  </r>
  <r>
    <s v="ORD-0215"/>
    <d v="2025-07-05T00:00:00"/>
    <x v="2"/>
    <x v="0"/>
    <x v="0"/>
    <s v="Aarav Traders"/>
    <n v="3"/>
    <n v="27.18"/>
    <n v="81.540000000000006"/>
    <n v="32.6"/>
    <n v="48.94"/>
    <x v="0"/>
    <x v="8"/>
  </r>
  <r>
    <s v="ORD-0216"/>
    <d v="2025-09-23T00:00:00"/>
    <x v="1"/>
    <x v="2"/>
    <x v="7"/>
    <s v="Blue Sky Retail"/>
    <n v="2"/>
    <n v="169.79"/>
    <n v="339.58"/>
    <n v="200.6"/>
    <n v="138.97999999999999"/>
    <x v="0"/>
    <x v="11"/>
  </r>
  <r>
    <s v="ORD-0217"/>
    <d v="2026-01-25T00:00:00"/>
    <x v="1"/>
    <x v="2"/>
    <x v="7"/>
    <s v="Aarav Traders"/>
    <n v="1"/>
    <n v="182.3"/>
    <n v="182.3"/>
    <n v="102.85"/>
    <n v="79.45"/>
    <x v="1"/>
    <x v="1"/>
  </r>
  <r>
    <s v="ORD-0218"/>
    <d v="2026-05-04T00:00:00"/>
    <x v="1"/>
    <x v="1"/>
    <x v="6"/>
    <s v="Crescent Stores"/>
    <n v="5"/>
    <n v="949.94"/>
    <n v="4749.7"/>
    <n v="3572.06"/>
    <n v="1177.6400000000001"/>
    <x v="1"/>
    <x v="4"/>
  </r>
  <r>
    <s v="ORD-0219"/>
    <d v="2025-10-14T00:00:00"/>
    <x v="2"/>
    <x v="1"/>
    <x v="11"/>
    <s v="Harbor Sales"/>
    <n v="2"/>
    <n v="360.05"/>
    <n v="720.1"/>
    <n v="498.52"/>
    <n v="221.58"/>
    <x v="0"/>
    <x v="6"/>
  </r>
  <r>
    <s v="ORD-0220"/>
    <d v="2025-04-06T00:00:00"/>
    <x v="2"/>
    <x v="2"/>
    <x v="3"/>
    <s v="Aarav Traders"/>
    <n v="4"/>
    <n v="396.57"/>
    <n v="1586.28"/>
    <n v="944.62"/>
    <n v="641.66"/>
    <x v="0"/>
    <x v="3"/>
  </r>
  <r>
    <s v="ORD-0221"/>
    <d v="2026-05-25T00:00:00"/>
    <x v="2"/>
    <x v="2"/>
    <x v="5"/>
    <s v="Futura Works"/>
    <n v="4"/>
    <n v="579.74"/>
    <n v="2318.96"/>
    <n v="1501.14"/>
    <n v="817.82"/>
    <x v="1"/>
    <x v="4"/>
  </r>
  <r>
    <s v="ORD-0222"/>
    <d v="2026-04-06T00:00:00"/>
    <x v="3"/>
    <x v="0"/>
    <x v="10"/>
    <s v="Aarav Traders"/>
    <n v="5"/>
    <n v="16.02"/>
    <n v="80.099999999999994"/>
    <n v="33.08"/>
    <n v="47.02"/>
    <x v="1"/>
    <x v="3"/>
  </r>
  <r>
    <s v="ORD-0223"/>
    <d v="2026-06-30T00:00:00"/>
    <x v="1"/>
    <x v="1"/>
    <x v="11"/>
    <s v="Harbor Sales"/>
    <n v="3"/>
    <n v="364.35"/>
    <n v="1093.05"/>
    <n v="761.28"/>
    <n v="331.77"/>
    <x v="1"/>
    <x v="5"/>
  </r>
  <r>
    <s v="ORD-0224"/>
    <d v="2026-07-18T00:00:00"/>
    <x v="0"/>
    <x v="2"/>
    <x v="3"/>
    <s v="Evergreen Mart"/>
    <n v="2"/>
    <n v="389.46"/>
    <n v="778.92"/>
    <n v="484.79"/>
    <n v="294.13"/>
    <x v="1"/>
    <x v="8"/>
  </r>
  <r>
    <s v="ORD-0225"/>
    <d v="2026-03-14T00:00:00"/>
    <x v="2"/>
    <x v="1"/>
    <x v="11"/>
    <s v="Evergreen Mart"/>
    <n v="4"/>
    <n v="321.43"/>
    <n v="1285.72"/>
    <n v="875.22"/>
    <n v="410.5"/>
    <x v="1"/>
    <x v="9"/>
  </r>
  <r>
    <s v="ORD-0226"/>
    <d v="2025-04-28T00:00:00"/>
    <x v="1"/>
    <x v="2"/>
    <x v="9"/>
    <s v="Blue Sky Retail"/>
    <n v="1"/>
    <n v="249.21"/>
    <n v="249.21"/>
    <n v="141.94999999999999"/>
    <n v="107.26"/>
    <x v="0"/>
    <x v="3"/>
  </r>
  <r>
    <s v="ORD-0227"/>
    <d v="2026-01-07T00:00:00"/>
    <x v="2"/>
    <x v="0"/>
    <x v="1"/>
    <s v="Aarav Traders"/>
    <n v="2"/>
    <n v="42.3"/>
    <n v="84.6"/>
    <n v="40.76"/>
    <n v="43.84"/>
    <x v="1"/>
    <x v="1"/>
  </r>
  <r>
    <s v="ORD-0228"/>
    <d v="2025-11-27T00:00:00"/>
    <x v="3"/>
    <x v="0"/>
    <x v="0"/>
    <s v="Dawn Enterprises"/>
    <n v="6"/>
    <n v="28.13"/>
    <n v="168.78"/>
    <n v="75.31"/>
    <n v="93.47"/>
    <x v="0"/>
    <x v="2"/>
  </r>
  <r>
    <s v="ORD-0229"/>
    <d v="2026-02-18T00:00:00"/>
    <x v="2"/>
    <x v="0"/>
    <x v="10"/>
    <s v="Blue Sky Retail"/>
    <n v="5"/>
    <n v="17.96"/>
    <n v="89.8"/>
    <n v="38.340000000000003"/>
    <n v="51.46"/>
    <x v="1"/>
    <x v="10"/>
  </r>
  <r>
    <s v="ORD-0230"/>
    <d v="2025-12-11T00:00:00"/>
    <x v="2"/>
    <x v="0"/>
    <x v="0"/>
    <s v="Crescent Stores"/>
    <n v="7"/>
    <n v="28.48"/>
    <n v="199.36"/>
    <n v="90.7"/>
    <n v="108.66"/>
    <x v="0"/>
    <x v="0"/>
  </r>
  <r>
    <s v="ORD-0231"/>
    <d v="2026-01-22T00:00:00"/>
    <x v="3"/>
    <x v="1"/>
    <x v="6"/>
    <s v="Crescent Stores"/>
    <n v="1"/>
    <n v="905.85"/>
    <n v="905.85"/>
    <n v="699.76"/>
    <n v="206.09"/>
    <x v="1"/>
    <x v="1"/>
  </r>
  <r>
    <s v="ORD-0232"/>
    <d v="2025-06-27T00:00:00"/>
    <x v="2"/>
    <x v="1"/>
    <x v="6"/>
    <s v="Blue Sky Retail"/>
    <n v="4"/>
    <n v="820.31"/>
    <n v="3281.24"/>
    <n v="2459.17"/>
    <n v="822.07"/>
    <x v="0"/>
    <x v="5"/>
  </r>
  <r>
    <s v="ORD-0233"/>
    <d v="2026-05-21T00:00:00"/>
    <x v="2"/>
    <x v="1"/>
    <x v="2"/>
    <s v="Futura Works"/>
    <n v="5"/>
    <n v="52.18"/>
    <n v="260.89999999999998"/>
    <n v="124.43"/>
    <n v="136.47"/>
    <x v="1"/>
    <x v="4"/>
  </r>
  <r>
    <s v="ORD-0234"/>
    <d v="2025-04-20T00:00:00"/>
    <x v="2"/>
    <x v="0"/>
    <x v="8"/>
    <s v="Aarav Traders"/>
    <n v="8"/>
    <n v="12.9"/>
    <n v="103.2"/>
    <n v="37.39"/>
    <n v="65.81"/>
    <x v="0"/>
    <x v="3"/>
  </r>
  <r>
    <s v="ORD-0235"/>
    <d v="2026-06-23T00:00:00"/>
    <x v="2"/>
    <x v="1"/>
    <x v="4"/>
    <s v="Dawn Enterprises"/>
    <n v="5"/>
    <n v="218.85"/>
    <n v="1094.25"/>
    <n v="681.84"/>
    <n v="412.41"/>
    <x v="1"/>
    <x v="5"/>
  </r>
  <r>
    <s v="ORD-0236"/>
    <d v="2025-10-20T00:00:00"/>
    <x v="2"/>
    <x v="1"/>
    <x v="6"/>
    <s v="Blue Sky Retail"/>
    <n v="1"/>
    <n v="988.31"/>
    <n v="988.31"/>
    <n v="755.29"/>
    <n v="233.02"/>
    <x v="0"/>
    <x v="6"/>
  </r>
  <r>
    <s v="ORD-0237"/>
    <d v="2025-09-11T00:00:00"/>
    <x v="3"/>
    <x v="0"/>
    <x v="1"/>
    <s v="Dawn Enterprises"/>
    <n v="6"/>
    <n v="49.88"/>
    <n v="299.27999999999997"/>
    <n v="127.6"/>
    <n v="171.68"/>
    <x v="0"/>
    <x v="11"/>
  </r>
  <r>
    <s v="ORD-0238"/>
    <d v="2025-05-01T00:00:00"/>
    <x v="1"/>
    <x v="2"/>
    <x v="7"/>
    <s v="Greenfield Co."/>
    <n v="4"/>
    <n v="156.44"/>
    <n v="625.76"/>
    <n v="337.78"/>
    <n v="287.98"/>
    <x v="0"/>
    <x v="4"/>
  </r>
  <r>
    <s v="ORD-0239"/>
    <d v="2025-01-12T00:00:00"/>
    <x v="3"/>
    <x v="0"/>
    <x v="0"/>
    <s v="Harbor Sales"/>
    <n v="2"/>
    <n v="23.55"/>
    <n v="47.1"/>
    <n v="19.03"/>
    <n v="28.07"/>
    <x v="0"/>
    <x v="1"/>
  </r>
  <r>
    <s v="ORD-0240"/>
    <d v="2026-01-22T00:00:00"/>
    <x v="2"/>
    <x v="2"/>
    <x v="3"/>
    <s v="Harbor Sales"/>
    <n v="1"/>
    <n v="412.29"/>
    <n v="412.29"/>
    <n v="241.24"/>
    <n v="171.05"/>
    <x v="1"/>
    <x v="1"/>
  </r>
  <r>
    <s v="ORD-0241"/>
    <d v="2025-06-22T00:00:00"/>
    <x v="1"/>
    <x v="1"/>
    <x v="6"/>
    <s v="Dawn Enterprises"/>
    <n v="4"/>
    <n v="1008.08"/>
    <n v="4032.32"/>
    <n v="3020.42"/>
    <n v="1011.9"/>
    <x v="0"/>
    <x v="5"/>
  </r>
  <r>
    <s v="ORD-0242"/>
    <d v="2025-03-20T00:00:00"/>
    <x v="0"/>
    <x v="2"/>
    <x v="3"/>
    <s v="Dawn Enterprises"/>
    <n v="1"/>
    <n v="473.9"/>
    <n v="473.9"/>
    <n v="275.29000000000002"/>
    <n v="198.61"/>
    <x v="0"/>
    <x v="9"/>
  </r>
  <r>
    <s v="ORD-0243"/>
    <d v="2026-04-05T00:00:00"/>
    <x v="0"/>
    <x v="0"/>
    <x v="1"/>
    <s v="Evergreen Mart"/>
    <n v="2"/>
    <n v="49.09"/>
    <n v="98.18"/>
    <n v="47.54"/>
    <n v="50.64"/>
    <x v="1"/>
    <x v="3"/>
  </r>
  <r>
    <s v="ORD-0244"/>
    <d v="2025-12-04T00:00:00"/>
    <x v="1"/>
    <x v="2"/>
    <x v="7"/>
    <s v="Aarav Traders"/>
    <n v="3"/>
    <n v="200.48"/>
    <n v="601.44000000000005"/>
    <n v="341.71"/>
    <n v="259.73"/>
    <x v="0"/>
    <x v="0"/>
  </r>
  <r>
    <s v="ORD-0245"/>
    <d v="2025-02-16T00:00:00"/>
    <x v="0"/>
    <x v="0"/>
    <x v="0"/>
    <s v="Blue Sky Retail"/>
    <n v="9"/>
    <n v="25.24"/>
    <n v="227.16"/>
    <n v="100.77"/>
    <n v="126.39"/>
    <x v="0"/>
    <x v="10"/>
  </r>
  <r>
    <s v="ORD-0246"/>
    <d v="2026-01-31T00:00:00"/>
    <x v="3"/>
    <x v="2"/>
    <x v="5"/>
    <s v="Dawn Enterprises"/>
    <n v="1"/>
    <n v="512.13"/>
    <n v="512.13"/>
    <n v="345.5"/>
    <n v="166.63"/>
    <x v="1"/>
    <x v="1"/>
  </r>
  <r>
    <s v="ORD-0247"/>
    <d v="2025-10-20T00:00:00"/>
    <x v="2"/>
    <x v="1"/>
    <x v="2"/>
    <s v="Blue Sky Retail"/>
    <n v="5"/>
    <n v="56.78"/>
    <n v="283.89999999999998"/>
    <n v="135.99"/>
    <n v="147.91"/>
    <x v="0"/>
    <x v="6"/>
  </r>
  <r>
    <s v="ORD-0248"/>
    <d v="2026-03-23T00:00:00"/>
    <x v="2"/>
    <x v="2"/>
    <x v="7"/>
    <s v="Evergreen Mart"/>
    <n v="4"/>
    <n v="202.21"/>
    <n v="808.84"/>
    <n v="459.76"/>
    <n v="349.08"/>
    <x v="1"/>
    <x v="9"/>
  </r>
  <r>
    <s v="ORD-0249"/>
    <d v="2025-02-09T00:00:00"/>
    <x v="2"/>
    <x v="0"/>
    <x v="0"/>
    <s v="Futura Works"/>
    <n v="1"/>
    <n v="24.14"/>
    <n v="24.14"/>
    <n v="9.99"/>
    <n v="14.15"/>
    <x v="0"/>
    <x v="10"/>
  </r>
  <r>
    <s v="ORD-0250"/>
    <d v="2026-06-15T00:00:00"/>
    <x v="0"/>
    <x v="1"/>
    <x v="11"/>
    <s v="Harbor Sales"/>
    <n v="1"/>
    <n v="341.45"/>
    <n v="341.45"/>
    <n v="252.44"/>
    <n v="89.01"/>
    <x v="1"/>
    <x v="5"/>
  </r>
  <r>
    <s v="ORD-0251"/>
    <d v="2025-04-20T00:00:00"/>
    <x v="1"/>
    <x v="1"/>
    <x v="2"/>
    <s v="Futura Works"/>
    <n v="5"/>
    <n v="57.08"/>
    <n v="285.39999999999998"/>
    <n v="130.03"/>
    <n v="155.37"/>
    <x v="0"/>
    <x v="3"/>
  </r>
  <r>
    <s v="ORD-0252"/>
    <d v="2026-06-22T00:00:00"/>
    <x v="1"/>
    <x v="0"/>
    <x v="10"/>
    <s v="Crescent Stores"/>
    <n v="8"/>
    <n v="17.739999999999998"/>
    <n v="141.91999999999999"/>
    <n v="56.88"/>
    <n v="85.04"/>
    <x v="1"/>
    <x v="5"/>
  </r>
  <r>
    <s v="ORD-0253"/>
    <d v="2026-05-10T00:00:00"/>
    <x v="1"/>
    <x v="0"/>
    <x v="10"/>
    <s v="Futura Works"/>
    <n v="3"/>
    <n v="18.05"/>
    <n v="54.15"/>
    <n v="21.21"/>
    <n v="32.94"/>
    <x v="1"/>
    <x v="4"/>
  </r>
  <r>
    <s v="ORD-0254"/>
    <d v="2025-09-07T00:00:00"/>
    <x v="0"/>
    <x v="2"/>
    <x v="3"/>
    <s v="Greenfield Co."/>
    <n v="5"/>
    <n v="364.12"/>
    <n v="1820.6"/>
    <n v="1189.94"/>
    <n v="630.66"/>
    <x v="0"/>
    <x v="11"/>
  </r>
  <r>
    <s v="ORD-0255"/>
    <d v="2026-08-18T00:00:00"/>
    <x v="1"/>
    <x v="0"/>
    <x v="1"/>
    <s v="Harbor Sales"/>
    <n v="10"/>
    <n v="40.99"/>
    <n v="409.9"/>
    <n v="196.65"/>
    <n v="213.25"/>
    <x v="1"/>
    <x v="7"/>
  </r>
  <r>
    <s v="ORD-0256"/>
    <d v="2025-11-15T00:00:00"/>
    <x v="1"/>
    <x v="2"/>
    <x v="5"/>
    <s v="Crescent Stores"/>
    <n v="2"/>
    <n v="565.71"/>
    <n v="1131.42"/>
    <n v="709.72"/>
    <n v="421.7"/>
    <x v="0"/>
    <x v="2"/>
  </r>
  <r>
    <s v="ORD-0257"/>
    <d v="2025-02-08T00:00:00"/>
    <x v="3"/>
    <x v="1"/>
    <x v="2"/>
    <s v="Evergreen Mart"/>
    <n v="5"/>
    <n v="58.1"/>
    <n v="290.5"/>
    <n v="136.25"/>
    <n v="154.25"/>
    <x v="0"/>
    <x v="10"/>
  </r>
  <r>
    <s v="ORD-0258"/>
    <d v="2026-06-21T00:00:00"/>
    <x v="2"/>
    <x v="1"/>
    <x v="4"/>
    <s v="Dawn Enterprises"/>
    <n v="5"/>
    <n v="219.26"/>
    <n v="1096.3"/>
    <n v="722.01"/>
    <n v="374.29"/>
    <x v="1"/>
    <x v="5"/>
  </r>
  <r>
    <s v="ORD-0259"/>
    <d v="2026-06-10T00:00:00"/>
    <x v="2"/>
    <x v="1"/>
    <x v="4"/>
    <s v="Futura Works"/>
    <n v="3"/>
    <n v="192.79"/>
    <n v="578.37"/>
    <n v="385.55"/>
    <n v="192.82"/>
    <x v="1"/>
    <x v="5"/>
  </r>
  <r>
    <s v="ORD-0260"/>
    <d v="2026-06-24T00:00:00"/>
    <x v="1"/>
    <x v="0"/>
    <x v="8"/>
    <s v="Blue Sky Retail"/>
    <n v="12"/>
    <n v="12.07"/>
    <n v="144.84"/>
    <n v="48.47"/>
    <n v="96.37"/>
    <x v="1"/>
    <x v="5"/>
  </r>
  <r>
    <s v="ORD-0261"/>
    <d v="2025-11-26T00:00:00"/>
    <x v="0"/>
    <x v="2"/>
    <x v="3"/>
    <s v="Harbor Sales"/>
    <n v="5"/>
    <n v="435.57"/>
    <n v="2177.85"/>
    <n v="1352.33"/>
    <n v="825.52"/>
    <x v="0"/>
    <x v="2"/>
  </r>
  <r>
    <s v="ORD-0262"/>
    <d v="2026-02-07T00:00:00"/>
    <x v="0"/>
    <x v="0"/>
    <x v="10"/>
    <s v="Greenfield Co."/>
    <n v="6"/>
    <n v="15.94"/>
    <n v="95.64"/>
    <n v="37.74"/>
    <n v="57.9"/>
    <x v="1"/>
    <x v="10"/>
  </r>
  <r>
    <s v="ORD-0263"/>
    <d v="2025-08-17T00:00:00"/>
    <x v="3"/>
    <x v="0"/>
    <x v="1"/>
    <s v="Dawn Enterprises"/>
    <n v="6"/>
    <n v="40.75"/>
    <n v="244.5"/>
    <n v="120.39"/>
    <n v="124.11"/>
    <x v="0"/>
    <x v="7"/>
  </r>
  <r>
    <s v="ORD-0264"/>
    <d v="2026-01-25T00:00:00"/>
    <x v="3"/>
    <x v="1"/>
    <x v="2"/>
    <s v="Harbor Sales"/>
    <n v="3"/>
    <n v="54.06"/>
    <n v="162.18"/>
    <n v="69.16"/>
    <n v="93.02"/>
    <x v="1"/>
    <x v="1"/>
  </r>
  <r>
    <s v="ORD-0265"/>
    <d v="2026-01-03T00:00:00"/>
    <x v="2"/>
    <x v="1"/>
    <x v="6"/>
    <s v="Futura Works"/>
    <n v="5"/>
    <n v="958.53"/>
    <n v="4792.6499999999996"/>
    <n v="3721.33"/>
    <n v="1071.32"/>
    <x v="1"/>
    <x v="1"/>
  </r>
  <r>
    <s v="ORD-0266"/>
    <d v="2025-01-20T00:00:00"/>
    <x v="3"/>
    <x v="2"/>
    <x v="9"/>
    <s v="Crescent Stores"/>
    <n v="4"/>
    <n v="294.86"/>
    <n v="1179.44"/>
    <n v="715.11"/>
    <n v="464.33"/>
    <x v="0"/>
    <x v="1"/>
  </r>
  <r>
    <s v="ORD-0267"/>
    <d v="2025-07-02T00:00:00"/>
    <x v="1"/>
    <x v="1"/>
    <x v="6"/>
    <s v="Blue Sky Retail"/>
    <n v="1"/>
    <n v="959.44"/>
    <n v="959.44"/>
    <n v="763.8"/>
    <n v="195.64"/>
    <x v="0"/>
    <x v="8"/>
  </r>
  <r>
    <s v="ORD-0268"/>
    <d v="2025-03-06T00:00:00"/>
    <x v="0"/>
    <x v="2"/>
    <x v="7"/>
    <s v="Evergreen Mart"/>
    <n v="1"/>
    <n v="196.42"/>
    <n v="196.42"/>
    <n v="108.51"/>
    <n v="87.91"/>
    <x v="0"/>
    <x v="9"/>
  </r>
  <r>
    <s v="ORD-0269"/>
    <d v="2026-06-14T00:00:00"/>
    <x v="3"/>
    <x v="2"/>
    <x v="3"/>
    <s v="Dawn Enterprises"/>
    <n v="2"/>
    <n v="395.49"/>
    <n v="790.98"/>
    <n v="502.91"/>
    <n v="288.07"/>
    <x v="1"/>
    <x v="5"/>
  </r>
  <r>
    <s v="ORD-0270"/>
    <d v="2025-02-13T00:00:00"/>
    <x v="0"/>
    <x v="1"/>
    <x v="2"/>
    <s v="Evergreen Mart"/>
    <n v="5"/>
    <n v="61.52"/>
    <n v="307.60000000000002"/>
    <n v="126.37"/>
    <n v="181.23"/>
    <x v="0"/>
    <x v="10"/>
  </r>
  <r>
    <s v="ORD-0271"/>
    <d v="2026-02-13T00:00:00"/>
    <x v="0"/>
    <x v="2"/>
    <x v="3"/>
    <s v="Harbor Sales"/>
    <n v="2"/>
    <n v="420.08"/>
    <n v="840.16"/>
    <n v="504.23"/>
    <n v="335.93"/>
    <x v="1"/>
    <x v="10"/>
  </r>
  <r>
    <s v="ORD-0272"/>
    <d v="2025-01-20T00:00:00"/>
    <x v="0"/>
    <x v="0"/>
    <x v="1"/>
    <s v="Futura Works"/>
    <n v="1"/>
    <n v="51"/>
    <n v="51"/>
    <n v="21.44"/>
    <n v="29.56"/>
    <x v="0"/>
    <x v="1"/>
  </r>
  <r>
    <s v="ORD-0273"/>
    <d v="2025-07-04T00:00:00"/>
    <x v="1"/>
    <x v="0"/>
    <x v="10"/>
    <s v="Futura Works"/>
    <n v="12"/>
    <n v="18.66"/>
    <n v="223.92"/>
    <n v="90.42"/>
    <n v="133.5"/>
    <x v="0"/>
    <x v="8"/>
  </r>
  <r>
    <s v="ORD-0274"/>
    <d v="2026-07-01T00:00:00"/>
    <x v="0"/>
    <x v="1"/>
    <x v="11"/>
    <s v="Evergreen Mart"/>
    <n v="2"/>
    <n v="298.29000000000002"/>
    <n v="596.58000000000004"/>
    <n v="429.98"/>
    <n v="166.6"/>
    <x v="1"/>
    <x v="8"/>
  </r>
  <r>
    <s v="ORD-0275"/>
    <d v="2026-01-28T00:00:00"/>
    <x v="1"/>
    <x v="2"/>
    <x v="5"/>
    <s v="Aarav Traders"/>
    <n v="5"/>
    <n v="490.16"/>
    <n v="2450.8000000000002"/>
    <n v="1516.31"/>
    <n v="934.49"/>
    <x v="1"/>
    <x v="1"/>
  </r>
  <r>
    <s v="ORD-0276"/>
    <d v="2025-02-24T00:00:00"/>
    <x v="2"/>
    <x v="0"/>
    <x v="8"/>
    <s v="Crescent Stores"/>
    <n v="10"/>
    <n v="13.59"/>
    <n v="135.9"/>
    <n v="45.18"/>
    <n v="90.72"/>
    <x v="0"/>
    <x v="10"/>
  </r>
  <r>
    <s v="ORD-0277"/>
    <d v="2025-08-13T00:00:00"/>
    <x v="3"/>
    <x v="0"/>
    <x v="1"/>
    <s v="Crescent Stores"/>
    <n v="11"/>
    <n v="39.96"/>
    <n v="439.56"/>
    <n v="188.05"/>
    <n v="251.51"/>
    <x v="0"/>
    <x v="7"/>
  </r>
  <r>
    <s v="ORD-0278"/>
    <d v="2025-03-18T00:00:00"/>
    <x v="2"/>
    <x v="1"/>
    <x v="6"/>
    <s v="Greenfield Co."/>
    <n v="2"/>
    <n v="872.15"/>
    <n v="1744.3"/>
    <n v="1287.0899999999999"/>
    <n v="457.21"/>
    <x v="0"/>
    <x v="9"/>
  </r>
  <r>
    <s v="ORD-0279"/>
    <d v="2025-01-04T00:00:00"/>
    <x v="2"/>
    <x v="0"/>
    <x v="0"/>
    <s v="Harbor Sales"/>
    <n v="7"/>
    <n v="26.34"/>
    <n v="184.38"/>
    <n v="74.11"/>
    <n v="110.27"/>
    <x v="0"/>
    <x v="1"/>
  </r>
  <r>
    <s v="ORD-0280"/>
    <d v="2026-01-14T00:00:00"/>
    <x v="2"/>
    <x v="0"/>
    <x v="0"/>
    <s v="Aarav Traders"/>
    <n v="11"/>
    <n v="22.35"/>
    <n v="245.85"/>
    <n v="96.23"/>
    <n v="149.62"/>
    <x v="1"/>
    <x v="1"/>
  </r>
  <r>
    <s v="ORD-0281"/>
    <d v="2025-05-19T00:00:00"/>
    <x v="0"/>
    <x v="2"/>
    <x v="7"/>
    <s v="Evergreen Mart"/>
    <n v="1"/>
    <n v="204.17"/>
    <n v="204.17"/>
    <n v="107.89"/>
    <n v="96.28"/>
    <x v="0"/>
    <x v="4"/>
  </r>
  <r>
    <s v="ORD-0282"/>
    <d v="2026-01-22T00:00:00"/>
    <x v="2"/>
    <x v="0"/>
    <x v="10"/>
    <s v="Evergreen Mart"/>
    <n v="2"/>
    <n v="17.02"/>
    <n v="34.04"/>
    <n v="14.3"/>
    <n v="19.739999999999998"/>
    <x v="1"/>
    <x v="1"/>
  </r>
  <r>
    <s v="ORD-0283"/>
    <d v="2025-08-25T00:00:00"/>
    <x v="0"/>
    <x v="0"/>
    <x v="1"/>
    <s v="Greenfield Co."/>
    <n v="10"/>
    <n v="43.33"/>
    <n v="433.3"/>
    <n v="201.92"/>
    <n v="231.38"/>
    <x v="0"/>
    <x v="7"/>
  </r>
  <r>
    <s v="ORD-0284"/>
    <d v="2025-08-04T00:00:00"/>
    <x v="3"/>
    <x v="0"/>
    <x v="8"/>
    <s v="Aarav Traders"/>
    <n v="3"/>
    <n v="12.04"/>
    <n v="36.119999999999997"/>
    <n v="12.61"/>
    <n v="23.51"/>
    <x v="0"/>
    <x v="7"/>
  </r>
  <r>
    <s v="ORD-0285"/>
    <d v="2025-03-17T00:00:00"/>
    <x v="0"/>
    <x v="2"/>
    <x v="7"/>
    <s v="Crescent Stores"/>
    <n v="1"/>
    <n v="172.41"/>
    <n v="172.41"/>
    <n v="100.46"/>
    <n v="71.95"/>
    <x v="0"/>
    <x v="9"/>
  </r>
  <r>
    <s v="ORD-0286"/>
    <d v="2025-01-23T00:00:00"/>
    <x v="2"/>
    <x v="2"/>
    <x v="5"/>
    <s v="Crescent Stores"/>
    <n v="4"/>
    <n v="575.75"/>
    <n v="2303"/>
    <n v="1531.81"/>
    <n v="771.19"/>
    <x v="0"/>
    <x v="1"/>
  </r>
  <r>
    <s v="ORD-0287"/>
    <d v="2025-10-29T00:00:00"/>
    <x v="1"/>
    <x v="2"/>
    <x v="3"/>
    <s v="Dawn Enterprises"/>
    <n v="1"/>
    <n v="465.76"/>
    <n v="465.76"/>
    <n v="286.92"/>
    <n v="178.84"/>
    <x v="0"/>
    <x v="6"/>
  </r>
  <r>
    <s v="ORD-0288"/>
    <d v="2025-02-02T00:00:00"/>
    <x v="0"/>
    <x v="0"/>
    <x v="10"/>
    <s v="Aarav Traders"/>
    <n v="7"/>
    <n v="16.93"/>
    <n v="118.51"/>
    <n v="42.96"/>
    <n v="75.55"/>
    <x v="0"/>
    <x v="10"/>
  </r>
  <r>
    <s v="ORD-0289"/>
    <d v="2025-08-12T00:00:00"/>
    <x v="0"/>
    <x v="1"/>
    <x v="2"/>
    <s v="Evergreen Mart"/>
    <n v="4"/>
    <n v="61.2"/>
    <n v="244.8"/>
    <n v="107.07"/>
    <n v="137.72999999999999"/>
    <x v="0"/>
    <x v="7"/>
  </r>
  <r>
    <s v="ORD-0290"/>
    <d v="2025-09-08T00:00:00"/>
    <x v="1"/>
    <x v="2"/>
    <x v="9"/>
    <s v="Aarav Traders"/>
    <n v="3"/>
    <n v="275.10000000000002"/>
    <n v="825.3"/>
    <n v="508.77"/>
    <n v="316.52999999999997"/>
    <x v="0"/>
    <x v="11"/>
  </r>
  <r>
    <s v="ORD-0291"/>
    <d v="2026-06-02T00:00:00"/>
    <x v="3"/>
    <x v="2"/>
    <x v="5"/>
    <s v="Aarav Traders"/>
    <n v="2"/>
    <n v="536.55999999999995"/>
    <n v="1073.1199999999999"/>
    <n v="710.95"/>
    <n v="362.17"/>
    <x v="1"/>
    <x v="5"/>
  </r>
  <r>
    <s v="ORD-0292"/>
    <d v="2025-08-26T00:00:00"/>
    <x v="3"/>
    <x v="1"/>
    <x v="4"/>
    <s v="Crescent Stores"/>
    <n v="1"/>
    <n v="211.64"/>
    <n v="211.64"/>
    <n v="141.52000000000001"/>
    <n v="70.12"/>
    <x v="0"/>
    <x v="7"/>
  </r>
  <r>
    <s v="ORD-0293"/>
    <d v="2026-01-19T00:00:00"/>
    <x v="2"/>
    <x v="0"/>
    <x v="10"/>
    <s v="Harbor Sales"/>
    <n v="3"/>
    <n v="16.899999999999999"/>
    <n v="50.7"/>
    <n v="19.39"/>
    <n v="31.31"/>
    <x v="1"/>
    <x v="1"/>
  </r>
  <r>
    <s v="ORD-0294"/>
    <d v="2025-05-10T00:00:00"/>
    <x v="1"/>
    <x v="1"/>
    <x v="11"/>
    <s v="Greenfield Co."/>
    <n v="1"/>
    <n v="315.91000000000003"/>
    <n v="315.91000000000003"/>
    <n v="221.95"/>
    <n v="93.96"/>
    <x v="0"/>
    <x v="4"/>
  </r>
  <r>
    <s v="ORD-0295"/>
    <d v="2026-06-28T00:00:00"/>
    <x v="3"/>
    <x v="0"/>
    <x v="8"/>
    <s v="Futura Works"/>
    <n v="5"/>
    <n v="11.37"/>
    <n v="56.85"/>
    <n v="20.95"/>
    <n v="35.9"/>
    <x v="1"/>
    <x v="5"/>
  </r>
  <r>
    <s v="ORD-0296"/>
    <d v="2025-10-12T00:00:00"/>
    <x v="2"/>
    <x v="2"/>
    <x v="9"/>
    <s v="Aarav Traders"/>
    <n v="1"/>
    <n v="303.61"/>
    <n v="303.61"/>
    <n v="183.82"/>
    <n v="119.79"/>
    <x v="0"/>
    <x v="6"/>
  </r>
  <r>
    <s v="ORD-0297"/>
    <d v="2025-09-17T00:00:00"/>
    <x v="3"/>
    <x v="1"/>
    <x v="4"/>
    <s v="Futura Works"/>
    <n v="4"/>
    <n v="238.79"/>
    <n v="955.16"/>
    <n v="613.5"/>
    <n v="341.66"/>
    <x v="0"/>
    <x v="11"/>
  </r>
  <r>
    <s v="ORD-0298"/>
    <d v="2025-09-08T00:00:00"/>
    <x v="0"/>
    <x v="0"/>
    <x v="0"/>
    <s v="Greenfield Co."/>
    <n v="4"/>
    <n v="22.33"/>
    <n v="89.32"/>
    <n v="35.340000000000003"/>
    <n v="53.98"/>
    <x v="0"/>
    <x v="11"/>
  </r>
  <r>
    <s v="ORD-0299"/>
    <d v="2025-10-18T00:00:00"/>
    <x v="3"/>
    <x v="1"/>
    <x v="11"/>
    <s v="Evergreen Mart"/>
    <n v="4"/>
    <n v="339.13"/>
    <n v="1356.52"/>
    <n v="931.69"/>
    <n v="424.83"/>
    <x v="0"/>
    <x v="6"/>
  </r>
  <r>
    <s v="ORD-0300"/>
    <d v="2026-03-30T00:00:00"/>
    <x v="0"/>
    <x v="1"/>
    <x v="6"/>
    <s v="Dawn Enterprises"/>
    <n v="4"/>
    <n v="1027.8900000000001"/>
    <n v="4111.5600000000004"/>
    <n v="3203.13"/>
    <n v="908.43"/>
    <x v="1"/>
    <x v="9"/>
  </r>
  <r>
    <s v="ORD-0301"/>
    <d v="2026-08-21T00:00:00"/>
    <x v="3"/>
    <x v="1"/>
    <x v="2"/>
    <s v="Greenfield Co."/>
    <n v="5"/>
    <n v="49.99"/>
    <n v="249.95"/>
    <n v="105.85"/>
    <n v="144.1"/>
    <x v="1"/>
    <x v="7"/>
  </r>
  <r>
    <s v="ORD-0302"/>
    <d v="2025-06-20T00:00:00"/>
    <x v="0"/>
    <x v="2"/>
    <x v="5"/>
    <s v="Blue Sky Retail"/>
    <n v="4"/>
    <n v="466.53"/>
    <n v="1866.12"/>
    <n v="1143"/>
    <n v="723.12"/>
    <x v="0"/>
    <x v="5"/>
  </r>
  <r>
    <s v="ORD-0303"/>
    <d v="2025-01-19T00:00:00"/>
    <x v="2"/>
    <x v="0"/>
    <x v="10"/>
    <s v="Evergreen Mart"/>
    <n v="7"/>
    <n v="20.399999999999999"/>
    <n v="142.80000000000001"/>
    <n v="53.81"/>
    <n v="88.99"/>
    <x v="0"/>
    <x v="1"/>
  </r>
  <r>
    <s v="ORD-0304"/>
    <d v="2025-08-17T00:00:00"/>
    <x v="2"/>
    <x v="2"/>
    <x v="7"/>
    <s v="Aarav Traders"/>
    <n v="2"/>
    <n v="184.42"/>
    <n v="368.84"/>
    <n v="207.87"/>
    <n v="160.97"/>
    <x v="0"/>
    <x v="7"/>
  </r>
  <r>
    <s v="ORD-0305"/>
    <d v="2026-07-13T00:00:00"/>
    <x v="1"/>
    <x v="1"/>
    <x v="4"/>
    <s v="Blue Sky Retail"/>
    <n v="5"/>
    <n v="229.74"/>
    <n v="1148.7"/>
    <n v="734.34"/>
    <n v="414.36"/>
    <x v="1"/>
    <x v="8"/>
  </r>
  <r>
    <s v="ORD-0306"/>
    <d v="2025-08-24T00:00:00"/>
    <x v="1"/>
    <x v="0"/>
    <x v="10"/>
    <s v="Futura Works"/>
    <n v="1"/>
    <n v="20.21"/>
    <n v="20.21"/>
    <n v="7.09"/>
    <n v="13.12"/>
    <x v="0"/>
    <x v="7"/>
  </r>
  <r>
    <s v="ORD-0307"/>
    <d v="2026-08-10T00:00:00"/>
    <x v="0"/>
    <x v="0"/>
    <x v="1"/>
    <s v="Futura Works"/>
    <n v="10"/>
    <n v="41.77"/>
    <n v="417.7"/>
    <n v="203.71"/>
    <n v="213.99"/>
    <x v="1"/>
    <x v="7"/>
  </r>
  <r>
    <s v="ORD-0308"/>
    <d v="2025-04-03T00:00:00"/>
    <x v="2"/>
    <x v="1"/>
    <x v="2"/>
    <s v="Blue Sky Retail"/>
    <n v="3"/>
    <n v="54.71"/>
    <n v="164.13"/>
    <n v="78.11"/>
    <n v="86.02"/>
    <x v="0"/>
    <x v="3"/>
  </r>
  <r>
    <s v="ORD-0309"/>
    <d v="2025-08-18T00:00:00"/>
    <x v="1"/>
    <x v="1"/>
    <x v="4"/>
    <s v="Crescent Stores"/>
    <n v="3"/>
    <n v="194.56"/>
    <n v="583.67999999999995"/>
    <n v="360.61"/>
    <n v="223.07"/>
    <x v="0"/>
    <x v="7"/>
  </r>
  <r>
    <s v="ORD-0310"/>
    <d v="2026-02-21T00:00:00"/>
    <x v="1"/>
    <x v="1"/>
    <x v="2"/>
    <s v="Blue Sky Retail"/>
    <n v="5"/>
    <n v="62.26"/>
    <n v="311.3"/>
    <n v="142.05000000000001"/>
    <n v="169.25"/>
    <x v="1"/>
    <x v="10"/>
  </r>
  <r>
    <s v="ORD-0311"/>
    <d v="2025-03-01T00:00:00"/>
    <x v="2"/>
    <x v="2"/>
    <x v="7"/>
    <s v="Greenfield Co."/>
    <n v="1"/>
    <n v="191.05"/>
    <n v="191.05"/>
    <n v="106.77"/>
    <n v="84.28"/>
    <x v="0"/>
    <x v="9"/>
  </r>
  <r>
    <s v="ORD-0312"/>
    <d v="2025-12-13T00:00:00"/>
    <x v="0"/>
    <x v="0"/>
    <x v="8"/>
    <s v="Harbor Sales"/>
    <n v="5"/>
    <n v="11.74"/>
    <n v="58.7"/>
    <n v="22.88"/>
    <n v="35.82"/>
    <x v="0"/>
    <x v="0"/>
  </r>
  <r>
    <s v="ORD-0313"/>
    <d v="2025-12-20T00:00:00"/>
    <x v="2"/>
    <x v="0"/>
    <x v="8"/>
    <s v="Futura Works"/>
    <n v="4"/>
    <n v="12.32"/>
    <n v="49.28"/>
    <n v="18.91"/>
    <n v="30.37"/>
    <x v="0"/>
    <x v="0"/>
  </r>
  <r>
    <s v="ORD-0314"/>
    <d v="2026-04-27T00:00:00"/>
    <x v="1"/>
    <x v="0"/>
    <x v="8"/>
    <s v="Dawn Enterprises"/>
    <n v="10"/>
    <n v="13.48"/>
    <n v="134.80000000000001"/>
    <n v="51.49"/>
    <n v="83.31"/>
    <x v="1"/>
    <x v="3"/>
  </r>
  <r>
    <s v="ORD-0315"/>
    <d v="2025-04-16T00:00:00"/>
    <x v="2"/>
    <x v="0"/>
    <x v="1"/>
    <s v="Harbor Sales"/>
    <n v="4"/>
    <n v="50.18"/>
    <n v="200.72"/>
    <n v="89.35"/>
    <n v="111.37"/>
    <x v="0"/>
    <x v="3"/>
  </r>
  <r>
    <s v="ORD-0316"/>
    <d v="2026-03-26T00:00:00"/>
    <x v="3"/>
    <x v="2"/>
    <x v="5"/>
    <s v="Evergreen Mart"/>
    <n v="4"/>
    <n v="503.06"/>
    <n v="2012.24"/>
    <n v="1313.75"/>
    <n v="698.49"/>
    <x v="1"/>
    <x v="9"/>
  </r>
  <r>
    <s v="ORD-0317"/>
    <d v="2026-07-21T00:00:00"/>
    <x v="1"/>
    <x v="2"/>
    <x v="7"/>
    <s v="Harbor Sales"/>
    <n v="1"/>
    <n v="170.86"/>
    <n v="170.86"/>
    <n v="89.08"/>
    <n v="81.78"/>
    <x v="1"/>
    <x v="8"/>
  </r>
  <r>
    <s v="ORD-0318"/>
    <d v="2026-05-23T00:00:00"/>
    <x v="1"/>
    <x v="2"/>
    <x v="7"/>
    <s v="Futura Works"/>
    <n v="2"/>
    <n v="202.99"/>
    <n v="405.98"/>
    <n v="221.72"/>
    <n v="184.26"/>
    <x v="1"/>
    <x v="4"/>
  </r>
  <r>
    <s v="ORD-0319"/>
    <d v="2026-03-19T00:00:00"/>
    <x v="3"/>
    <x v="2"/>
    <x v="9"/>
    <s v="Crescent Stores"/>
    <n v="5"/>
    <n v="285.12"/>
    <n v="1425.6"/>
    <n v="863.73"/>
    <n v="561.87"/>
    <x v="1"/>
    <x v="9"/>
  </r>
  <r>
    <s v="ORD-0320"/>
    <d v="2025-03-10T00:00:00"/>
    <x v="3"/>
    <x v="1"/>
    <x v="4"/>
    <s v="Harbor Sales"/>
    <n v="2"/>
    <n v="224.04"/>
    <n v="448.08"/>
    <n v="300.17"/>
    <n v="147.91"/>
    <x v="0"/>
    <x v="9"/>
  </r>
  <r>
    <s v="ORD-0321"/>
    <d v="2025-03-06T00:00:00"/>
    <x v="2"/>
    <x v="1"/>
    <x v="4"/>
    <s v="Harbor Sales"/>
    <n v="1"/>
    <n v="201.25"/>
    <n v="201.25"/>
    <n v="136.82"/>
    <n v="64.430000000000007"/>
    <x v="0"/>
    <x v="9"/>
  </r>
  <r>
    <s v="ORD-0322"/>
    <d v="2025-10-03T00:00:00"/>
    <x v="1"/>
    <x v="2"/>
    <x v="5"/>
    <s v="Greenfield Co."/>
    <n v="2"/>
    <n v="439.53"/>
    <n v="879.06"/>
    <n v="562.66999999999996"/>
    <n v="316.39"/>
    <x v="0"/>
    <x v="6"/>
  </r>
  <r>
    <s v="ORD-0323"/>
    <d v="2026-06-24T00:00:00"/>
    <x v="0"/>
    <x v="1"/>
    <x v="2"/>
    <s v="Evergreen Mart"/>
    <n v="4"/>
    <n v="61.85"/>
    <n v="247.4"/>
    <n v="107.99"/>
    <n v="139.41"/>
    <x v="1"/>
    <x v="5"/>
  </r>
  <r>
    <s v="ORD-0324"/>
    <d v="2025-06-28T00:00:00"/>
    <x v="0"/>
    <x v="0"/>
    <x v="0"/>
    <s v="Crescent Stores"/>
    <n v="5"/>
    <n v="22.11"/>
    <n v="110.55"/>
    <n v="49.42"/>
    <n v="61.13"/>
    <x v="0"/>
    <x v="5"/>
  </r>
  <r>
    <s v="ORD-0325"/>
    <d v="2026-05-13T00:00:00"/>
    <x v="1"/>
    <x v="0"/>
    <x v="1"/>
    <s v="Aarav Traders"/>
    <n v="9"/>
    <n v="44.12"/>
    <n v="397.08"/>
    <n v="185.01"/>
    <n v="212.07"/>
    <x v="1"/>
    <x v="4"/>
  </r>
  <r>
    <s v="ORD-0326"/>
    <d v="2026-05-18T00:00:00"/>
    <x v="3"/>
    <x v="2"/>
    <x v="3"/>
    <s v="Harbor Sales"/>
    <n v="2"/>
    <n v="464.99"/>
    <n v="929.98"/>
    <n v="596.66"/>
    <n v="333.32"/>
    <x v="1"/>
    <x v="4"/>
  </r>
  <r>
    <s v="ORD-0327"/>
    <d v="2026-06-25T00:00:00"/>
    <x v="1"/>
    <x v="1"/>
    <x v="11"/>
    <s v="Harbor Sales"/>
    <n v="5"/>
    <n v="308.85000000000002"/>
    <n v="1544.25"/>
    <n v="1052.44"/>
    <n v="491.81"/>
    <x v="1"/>
    <x v="5"/>
  </r>
  <r>
    <s v="ORD-0328"/>
    <d v="2025-08-17T00:00:00"/>
    <x v="3"/>
    <x v="1"/>
    <x v="11"/>
    <s v="Blue Sky Retail"/>
    <n v="2"/>
    <n v="275.37"/>
    <n v="550.74"/>
    <n v="418.51"/>
    <n v="132.22999999999999"/>
    <x v="0"/>
    <x v="7"/>
  </r>
  <r>
    <s v="ORD-0329"/>
    <d v="2025-04-09T00:00:00"/>
    <x v="0"/>
    <x v="1"/>
    <x v="4"/>
    <s v="Dawn Enterprises"/>
    <n v="4"/>
    <n v="197.24"/>
    <n v="788.96"/>
    <n v="533.55999999999995"/>
    <n v="255.4"/>
    <x v="0"/>
    <x v="3"/>
  </r>
  <r>
    <s v="ORD-0330"/>
    <d v="2026-05-24T00:00:00"/>
    <x v="0"/>
    <x v="2"/>
    <x v="9"/>
    <s v="Dawn Enterprises"/>
    <n v="5"/>
    <n v="264.88"/>
    <n v="1324.4"/>
    <n v="789.7"/>
    <n v="534.70000000000005"/>
    <x v="1"/>
    <x v="4"/>
  </r>
  <r>
    <s v="ORD-0331"/>
    <d v="2025-07-31T00:00:00"/>
    <x v="0"/>
    <x v="2"/>
    <x v="3"/>
    <s v="Crescent Stores"/>
    <n v="4"/>
    <n v="389.37"/>
    <n v="1557.48"/>
    <n v="1008.59"/>
    <n v="548.89"/>
    <x v="0"/>
    <x v="8"/>
  </r>
  <r>
    <s v="ORD-0332"/>
    <d v="2025-12-19T00:00:00"/>
    <x v="0"/>
    <x v="1"/>
    <x v="2"/>
    <s v="Dawn Enterprises"/>
    <n v="1"/>
    <n v="58.07"/>
    <n v="58.07"/>
    <n v="24.94"/>
    <n v="33.130000000000003"/>
    <x v="0"/>
    <x v="0"/>
  </r>
  <r>
    <s v="ORD-0333"/>
    <d v="2026-03-05T00:00:00"/>
    <x v="3"/>
    <x v="0"/>
    <x v="1"/>
    <s v="Dawn Enterprises"/>
    <n v="12"/>
    <n v="39.69"/>
    <n v="476.28"/>
    <n v="236.43"/>
    <n v="239.85"/>
    <x v="1"/>
    <x v="9"/>
  </r>
  <r>
    <s v="ORD-0334"/>
    <d v="2026-03-16T00:00:00"/>
    <x v="2"/>
    <x v="1"/>
    <x v="6"/>
    <s v="Crescent Stores"/>
    <n v="4"/>
    <n v="889.67"/>
    <n v="3558.68"/>
    <n v="2603.1799999999998"/>
    <n v="955.5"/>
    <x v="1"/>
    <x v="9"/>
  </r>
  <r>
    <s v="ORD-0335"/>
    <d v="2025-12-30T00:00:00"/>
    <x v="3"/>
    <x v="2"/>
    <x v="7"/>
    <s v="Aarav Traders"/>
    <n v="1"/>
    <n v="196.54"/>
    <n v="196.54"/>
    <n v="111.1"/>
    <n v="85.44"/>
    <x v="0"/>
    <x v="0"/>
  </r>
  <r>
    <s v="ORD-0336"/>
    <d v="2025-03-31T00:00:00"/>
    <x v="2"/>
    <x v="2"/>
    <x v="3"/>
    <s v="Crescent Stores"/>
    <n v="2"/>
    <n v="437.02"/>
    <n v="874.04"/>
    <n v="532.80999999999995"/>
    <n v="341.23"/>
    <x v="0"/>
    <x v="9"/>
  </r>
  <r>
    <s v="ORD-0337"/>
    <d v="2026-04-08T00:00:00"/>
    <x v="0"/>
    <x v="0"/>
    <x v="0"/>
    <s v="Harbor Sales"/>
    <n v="10"/>
    <n v="26.16"/>
    <n v="261.60000000000002"/>
    <n v="116.44"/>
    <n v="145.16"/>
    <x v="1"/>
    <x v="3"/>
  </r>
  <r>
    <s v="ORD-0338"/>
    <d v="2026-05-27T00:00:00"/>
    <x v="3"/>
    <x v="1"/>
    <x v="4"/>
    <s v="Futura Works"/>
    <n v="2"/>
    <n v="228.86"/>
    <n v="457.72"/>
    <n v="295.79000000000002"/>
    <n v="161.93"/>
    <x v="1"/>
    <x v="4"/>
  </r>
  <r>
    <s v="ORD-0339"/>
    <d v="2026-01-18T00:00:00"/>
    <x v="0"/>
    <x v="1"/>
    <x v="4"/>
    <s v="Blue Sky Retail"/>
    <n v="4"/>
    <n v="223.82"/>
    <n v="895.28"/>
    <n v="589.74"/>
    <n v="305.54000000000002"/>
    <x v="1"/>
    <x v="1"/>
  </r>
  <r>
    <s v="ORD-0340"/>
    <d v="2026-03-25T00:00:00"/>
    <x v="3"/>
    <x v="2"/>
    <x v="5"/>
    <s v="Blue Sky Retail"/>
    <n v="2"/>
    <n v="509.74"/>
    <n v="1019.48"/>
    <n v="663.1"/>
    <n v="356.38"/>
    <x v="1"/>
    <x v="9"/>
  </r>
  <r>
    <s v="ORD-0341"/>
    <d v="2025-11-08T00:00:00"/>
    <x v="1"/>
    <x v="1"/>
    <x v="2"/>
    <s v="Dawn Enterprises"/>
    <n v="4"/>
    <n v="53.66"/>
    <n v="214.64"/>
    <n v="101.63"/>
    <n v="113.01"/>
    <x v="0"/>
    <x v="2"/>
  </r>
  <r>
    <s v="ORD-0342"/>
    <d v="2025-08-23T00:00:00"/>
    <x v="3"/>
    <x v="0"/>
    <x v="8"/>
    <s v="Crescent Stores"/>
    <n v="12"/>
    <n v="12.79"/>
    <n v="153.47999999999999"/>
    <n v="58.42"/>
    <n v="95.06"/>
    <x v="0"/>
    <x v="7"/>
  </r>
  <r>
    <s v="ORD-0343"/>
    <d v="2025-09-24T00:00:00"/>
    <x v="3"/>
    <x v="0"/>
    <x v="8"/>
    <s v="Futura Works"/>
    <n v="3"/>
    <n v="12.68"/>
    <n v="38.04"/>
    <n v="12.98"/>
    <n v="25.06"/>
    <x v="0"/>
    <x v="11"/>
  </r>
  <r>
    <s v="ORD-0344"/>
    <d v="2026-05-08T00:00:00"/>
    <x v="1"/>
    <x v="1"/>
    <x v="2"/>
    <s v="Greenfield Co."/>
    <n v="5"/>
    <n v="56"/>
    <n v="280"/>
    <n v="112.05"/>
    <n v="167.95"/>
    <x v="1"/>
    <x v="4"/>
  </r>
  <r>
    <s v="ORD-0345"/>
    <d v="2026-07-05T00:00:00"/>
    <x v="2"/>
    <x v="0"/>
    <x v="8"/>
    <s v="Dawn Enterprises"/>
    <n v="4"/>
    <n v="12.58"/>
    <n v="50.32"/>
    <n v="17.47"/>
    <n v="32.85"/>
    <x v="1"/>
    <x v="8"/>
  </r>
  <r>
    <s v="ORD-0346"/>
    <d v="2025-04-21T00:00:00"/>
    <x v="3"/>
    <x v="0"/>
    <x v="0"/>
    <s v="Futura Works"/>
    <n v="3"/>
    <n v="27.84"/>
    <n v="83.52"/>
    <n v="32.51"/>
    <n v="51.01"/>
    <x v="0"/>
    <x v="3"/>
  </r>
  <r>
    <s v="ORD-0347"/>
    <d v="2026-05-12T00:00:00"/>
    <x v="0"/>
    <x v="1"/>
    <x v="6"/>
    <s v="Blue Sky Retail"/>
    <n v="5"/>
    <n v="846.02"/>
    <n v="4230.1000000000004"/>
    <n v="3197.47"/>
    <n v="1032.6300000000001"/>
    <x v="1"/>
    <x v="4"/>
  </r>
  <r>
    <s v="ORD-0348"/>
    <d v="2026-03-19T00:00:00"/>
    <x v="0"/>
    <x v="1"/>
    <x v="2"/>
    <s v="Crescent Stores"/>
    <n v="3"/>
    <n v="49.1"/>
    <n v="147.30000000000001"/>
    <n v="63.39"/>
    <n v="83.91"/>
    <x v="1"/>
    <x v="9"/>
  </r>
  <r>
    <s v="ORD-0349"/>
    <d v="2025-10-20T00:00:00"/>
    <x v="1"/>
    <x v="2"/>
    <x v="7"/>
    <s v="Aarav Traders"/>
    <n v="3"/>
    <n v="164.15"/>
    <n v="492.45"/>
    <n v="266.22000000000003"/>
    <n v="226.23"/>
    <x v="0"/>
    <x v="6"/>
  </r>
  <r>
    <s v="ORD-0350"/>
    <d v="2026-06-30T00:00:00"/>
    <x v="2"/>
    <x v="0"/>
    <x v="1"/>
    <s v="Futura Works"/>
    <n v="8"/>
    <n v="42.72"/>
    <n v="341.76"/>
    <n v="164.51"/>
    <n v="177.25"/>
    <x v="1"/>
    <x v="5"/>
  </r>
  <r>
    <s v="ORD-0351"/>
    <d v="2026-07-01T00:00:00"/>
    <x v="2"/>
    <x v="2"/>
    <x v="7"/>
    <s v="Harbor Sales"/>
    <n v="4"/>
    <n v="179.28"/>
    <n v="717.12"/>
    <n v="409.52"/>
    <n v="307.60000000000002"/>
    <x v="1"/>
    <x v="8"/>
  </r>
  <r>
    <s v="ORD-0352"/>
    <d v="2025-12-10T00:00:00"/>
    <x v="2"/>
    <x v="0"/>
    <x v="1"/>
    <s v="Evergreen Mart"/>
    <n v="3"/>
    <n v="41.06"/>
    <n v="123.18"/>
    <n v="53.87"/>
    <n v="69.31"/>
    <x v="0"/>
    <x v="0"/>
  </r>
  <r>
    <s v="ORD-0353"/>
    <d v="2025-12-16T00:00:00"/>
    <x v="3"/>
    <x v="2"/>
    <x v="9"/>
    <s v="Greenfield Co."/>
    <n v="1"/>
    <n v="317.55"/>
    <n v="317.55"/>
    <n v="181.56"/>
    <n v="135.99"/>
    <x v="0"/>
    <x v="0"/>
  </r>
  <r>
    <s v="ORD-0354"/>
    <d v="2025-07-14T00:00:00"/>
    <x v="1"/>
    <x v="0"/>
    <x v="0"/>
    <s v="Evergreen Mart"/>
    <n v="8"/>
    <n v="28.08"/>
    <n v="224.64"/>
    <n v="92.66"/>
    <n v="131.97999999999999"/>
    <x v="0"/>
    <x v="8"/>
  </r>
  <r>
    <s v="ORD-0355"/>
    <d v="2026-08-27T00:00:00"/>
    <x v="2"/>
    <x v="1"/>
    <x v="11"/>
    <s v="Futura Works"/>
    <n v="5"/>
    <n v="345.5"/>
    <n v="1727.5"/>
    <n v="1272.76"/>
    <n v="454.74"/>
    <x v="1"/>
    <x v="7"/>
  </r>
  <r>
    <s v="ORD-0356"/>
    <d v="2026-05-31T00:00:00"/>
    <x v="3"/>
    <x v="2"/>
    <x v="7"/>
    <s v="Dawn Enterprises"/>
    <n v="4"/>
    <n v="190.42"/>
    <n v="761.68"/>
    <n v="453.02"/>
    <n v="308.66000000000003"/>
    <x v="1"/>
    <x v="4"/>
  </r>
  <r>
    <s v="ORD-0357"/>
    <d v="2025-12-03T00:00:00"/>
    <x v="3"/>
    <x v="0"/>
    <x v="8"/>
    <s v="Greenfield Co."/>
    <n v="10"/>
    <n v="12.06"/>
    <n v="120.6"/>
    <n v="46.62"/>
    <n v="73.98"/>
    <x v="0"/>
    <x v="0"/>
  </r>
  <r>
    <s v="ORD-0358"/>
    <d v="2025-11-06T00:00:00"/>
    <x v="2"/>
    <x v="0"/>
    <x v="8"/>
    <s v="Futura Works"/>
    <n v="2"/>
    <n v="13.47"/>
    <n v="26.94"/>
    <n v="9.98"/>
    <n v="16.96"/>
    <x v="0"/>
    <x v="2"/>
  </r>
  <r>
    <s v="ORD-0359"/>
    <d v="2025-11-09T00:00:00"/>
    <x v="0"/>
    <x v="1"/>
    <x v="2"/>
    <s v="Aarav Traders"/>
    <n v="3"/>
    <n v="51.49"/>
    <n v="154.47"/>
    <n v="70.08"/>
    <n v="84.39"/>
    <x v="0"/>
    <x v="2"/>
  </r>
  <r>
    <s v="ORD-0360"/>
    <d v="2026-03-19T00:00:00"/>
    <x v="2"/>
    <x v="0"/>
    <x v="0"/>
    <s v="Blue Sky Retail"/>
    <n v="11"/>
    <n v="22.09"/>
    <n v="242.99"/>
    <n v="104.32"/>
    <n v="138.66999999999999"/>
    <x v="1"/>
    <x v="9"/>
  </r>
  <r>
    <s v="ORD-0361"/>
    <d v="2025-01-05T00:00:00"/>
    <x v="0"/>
    <x v="0"/>
    <x v="0"/>
    <s v="Evergreen Mart"/>
    <n v="9"/>
    <n v="22.96"/>
    <n v="206.64"/>
    <n v="85.03"/>
    <n v="121.61"/>
    <x v="0"/>
    <x v="1"/>
  </r>
  <r>
    <s v="ORD-0362"/>
    <d v="2026-08-12T00:00:00"/>
    <x v="3"/>
    <x v="0"/>
    <x v="1"/>
    <s v="Greenfield Co."/>
    <n v="1"/>
    <n v="38.97"/>
    <n v="38.97"/>
    <n v="16.77"/>
    <n v="22.2"/>
    <x v="1"/>
    <x v="7"/>
  </r>
  <r>
    <s v="ORD-0363"/>
    <d v="2025-01-25T00:00:00"/>
    <x v="2"/>
    <x v="2"/>
    <x v="7"/>
    <s v="Crescent Stores"/>
    <n v="5"/>
    <n v="167.24"/>
    <n v="836.2"/>
    <n v="469.83"/>
    <n v="366.37"/>
    <x v="0"/>
    <x v="1"/>
  </r>
  <r>
    <s v="ORD-0364"/>
    <d v="2025-07-05T00:00:00"/>
    <x v="1"/>
    <x v="2"/>
    <x v="7"/>
    <s v="Crescent Stores"/>
    <n v="4"/>
    <n v="184.55"/>
    <n v="738.2"/>
    <n v="424.57"/>
    <n v="313.63"/>
    <x v="0"/>
    <x v="8"/>
  </r>
  <r>
    <s v="ORD-0365"/>
    <d v="2025-02-11T00:00:00"/>
    <x v="3"/>
    <x v="2"/>
    <x v="3"/>
    <s v="Aarav Traders"/>
    <n v="4"/>
    <n v="419.39"/>
    <n v="1677.56"/>
    <n v="994.6"/>
    <n v="682.96"/>
    <x v="0"/>
    <x v="10"/>
  </r>
  <r>
    <s v="ORD-0366"/>
    <d v="2025-04-21T00:00:00"/>
    <x v="2"/>
    <x v="2"/>
    <x v="3"/>
    <s v="Blue Sky Retail"/>
    <n v="2"/>
    <n v="460.77"/>
    <n v="921.54"/>
    <n v="562.82000000000005"/>
    <n v="358.72"/>
    <x v="0"/>
    <x v="3"/>
  </r>
  <r>
    <s v="ORD-0367"/>
    <d v="2026-05-17T00:00:00"/>
    <x v="1"/>
    <x v="0"/>
    <x v="0"/>
    <s v="Aarav Traders"/>
    <n v="3"/>
    <n v="28.49"/>
    <n v="85.47"/>
    <n v="37.43"/>
    <n v="48.04"/>
    <x v="1"/>
    <x v="4"/>
  </r>
  <r>
    <s v="ORD-0368"/>
    <d v="2025-02-26T00:00:00"/>
    <x v="2"/>
    <x v="1"/>
    <x v="4"/>
    <s v="Crescent Stores"/>
    <n v="5"/>
    <n v="190.16"/>
    <n v="950.8"/>
    <n v="617.61"/>
    <n v="333.19"/>
    <x v="0"/>
    <x v="10"/>
  </r>
  <r>
    <s v="ORD-0369"/>
    <d v="2025-06-29T00:00:00"/>
    <x v="0"/>
    <x v="1"/>
    <x v="11"/>
    <s v="Futura Works"/>
    <n v="5"/>
    <n v="289.22000000000003"/>
    <n v="1446.1"/>
    <n v="1044.4100000000001"/>
    <n v="401.69"/>
    <x v="0"/>
    <x v="5"/>
  </r>
  <r>
    <s v="ORD-0370"/>
    <d v="2025-03-26T00:00:00"/>
    <x v="2"/>
    <x v="0"/>
    <x v="8"/>
    <s v="Greenfield Co."/>
    <n v="8"/>
    <n v="12.79"/>
    <n v="102.32"/>
    <n v="40.729999999999997"/>
    <n v="61.59"/>
    <x v="0"/>
    <x v="9"/>
  </r>
  <r>
    <s v="ORD-0371"/>
    <d v="2025-06-09T00:00:00"/>
    <x v="3"/>
    <x v="2"/>
    <x v="5"/>
    <s v="Aarav Traders"/>
    <n v="1"/>
    <n v="534.94000000000005"/>
    <n v="534.94000000000005"/>
    <n v="321.27999999999997"/>
    <n v="213.66"/>
    <x v="0"/>
    <x v="5"/>
  </r>
  <r>
    <s v="ORD-0372"/>
    <d v="2026-06-08T00:00:00"/>
    <x v="0"/>
    <x v="2"/>
    <x v="9"/>
    <s v="Futura Works"/>
    <n v="2"/>
    <n v="278.27"/>
    <n v="556.54"/>
    <n v="347.37"/>
    <n v="209.17"/>
    <x v="1"/>
    <x v="5"/>
  </r>
  <r>
    <s v="ORD-0373"/>
    <d v="2026-04-09T00:00:00"/>
    <x v="2"/>
    <x v="1"/>
    <x v="2"/>
    <s v="Dawn Enterprises"/>
    <n v="5"/>
    <n v="55.71"/>
    <n v="278.55"/>
    <n v="124.19"/>
    <n v="154.36000000000001"/>
    <x v="1"/>
    <x v="3"/>
  </r>
  <r>
    <s v="ORD-0374"/>
    <d v="2026-02-16T00:00:00"/>
    <x v="1"/>
    <x v="2"/>
    <x v="7"/>
    <s v="Futura Works"/>
    <n v="3"/>
    <n v="164.58"/>
    <n v="493.74"/>
    <n v="285.3"/>
    <n v="208.44"/>
    <x v="1"/>
    <x v="10"/>
  </r>
  <r>
    <s v="ORD-0375"/>
    <d v="2025-04-05T00:00:00"/>
    <x v="1"/>
    <x v="2"/>
    <x v="9"/>
    <s v="Crescent Stores"/>
    <n v="5"/>
    <n v="317.63"/>
    <n v="1588.15"/>
    <n v="939.48"/>
    <n v="648.66999999999996"/>
    <x v="0"/>
    <x v="3"/>
  </r>
  <r>
    <s v="ORD-0376"/>
    <d v="2025-07-27T00:00:00"/>
    <x v="2"/>
    <x v="2"/>
    <x v="3"/>
    <s v="Evergreen Mart"/>
    <n v="4"/>
    <n v="409.81"/>
    <n v="1639.24"/>
    <n v="1024.68"/>
    <n v="614.55999999999995"/>
    <x v="0"/>
    <x v="8"/>
  </r>
  <r>
    <s v="ORD-0377"/>
    <d v="2025-07-06T00:00:00"/>
    <x v="2"/>
    <x v="2"/>
    <x v="7"/>
    <s v="Futura Works"/>
    <n v="1"/>
    <n v="197.78"/>
    <n v="197.78"/>
    <n v="106.35"/>
    <n v="91.43"/>
    <x v="0"/>
    <x v="8"/>
  </r>
  <r>
    <s v="ORD-0378"/>
    <d v="2026-04-22T00:00:00"/>
    <x v="3"/>
    <x v="2"/>
    <x v="5"/>
    <s v="Aarav Traders"/>
    <n v="2"/>
    <n v="577.42999999999995"/>
    <n v="1154.8599999999999"/>
    <n v="718.33"/>
    <n v="436.53"/>
    <x v="1"/>
    <x v="3"/>
  </r>
  <r>
    <s v="ORD-0379"/>
    <d v="2026-05-03T00:00:00"/>
    <x v="1"/>
    <x v="1"/>
    <x v="11"/>
    <s v="Harbor Sales"/>
    <n v="4"/>
    <n v="354.44"/>
    <n v="1417.76"/>
    <n v="1024.1600000000001"/>
    <n v="393.6"/>
    <x v="1"/>
    <x v="4"/>
  </r>
  <r>
    <s v="ORD-0380"/>
    <d v="2025-11-16T00:00:00"/>
    <x v="3"/>
    <x v="0"/>
    <x v="8"/>
    <s v="Greenfield Co."/>
    <n v="12"/>
    <n v="11.15"/>
    <n v="133.80000000000001"/>
    <n v="53.02"/>
    <n v="80.78"/>
    <x v="0"/>
    <x v="2"/>
  </r>
  <r>
    <s v="ORD-0381"/>
    <d v="2025-02-26T00:00:00"/>
    <x v="1"/>
    <x v="1"/>
    <x v="4"/>
    <s v="Futura Works"/>
    <n v="2"/>
    <n v="219.98"/>
    <n v="439.96"/>
    <n v="301.02"/>
    <n v="138.94"/>
    <x v="0"/>
    <x v="10"/>
  </r>
  <r>
    <s v="ORD-0382"/>
    <d v="2025-05-06T00:00:00"/>
    <x v="2"/>
    <x v="2"/>
    <x v="3"/>
    <s v="Dawn Enterprises"/>
    <n v="5"/>
    <n v="434.5"/>
    <n v="2172.5"/>
    <n v="1416.26"/>
    <n v="756.24"/>
    <x v="0"/>
    <x v="4"/>
  </r>
  <r>
    <s v="ORD-0383"/>
    <d v="2025-04-27T00:00:00"/>
    <x v="1"/>
    <x v="1"/>
    <x v="4"/>
    <s v="Dawn Enterprises"/>
    <n v="2"/>
    <n v="224.97"/>
    <n v="449.94"/>
    <n v="281.04000000000002"/>
    <n v="168.9"/>
    <x v="0"/>
    <x v="3"/>
  </r>
  <r>
    <s v="ORD-0384"/>
    <d v="2025-11-23T00:00:00"/>
    <x v="2"/>
    <x v="2"/>
    <x v="7"/>
    <s v="Futura Works"/>
    <n v="4"/>
    <n v="165.86"/>
    <n v="663.44"/>
    <n v="397.53"/>
    <n v="265.91000000000003"/>
    <x v="0"/>
    <x v="2"/>
  </r>
  <r>
    <s v="ORD-0385"/>
    <d v="2026-07-04T00:00:00"/>
    <x v="3"/>
    <x v="0"/>
    <x v="1"/>
    <s v="Dawn Enterprises"/>
    <n v="12"/>
    <n v="44.02"/>
    <n v="528.24"/>
    <n v="263.93"/>
    <n v="264.31"/>
    <x v="1"/>
    <x v="8"/>
  </r>
  <r>
    <s v="ORD-0386"/>
    <d v="2026-08-09T00:00:00"/>
    <x v="1"/>
    <x v="0"/>
    <x v="1"/>
    <s v="Futura Works"/>
    <n v="4"/>
    <n v="49.13"/>
    <n v="196.52"/>
    <n v="90.99"/>
    <n v="105.53"/>
    <x v="1"/>
    <x v="7"/>
  </r>
  <r>
    <s v="ORD-0387"/>
    <d v="2026-06-25T00:00:00"/>
    <x v="1"/>
    <x v="2"/>
    <x v="3"/>
    <s v="Blue Sky Retail"/>
    <n v="4"/>
    <n v="429.99"/>
    <n v="1719.96"/>
    <n v="1002.31"/>
    <n v="717.65"/>
    <x v="1"/>
    <x v="5"/>
  </r>
  <r>
    <s v="ORD-0388"/>
    <d v="2025-07-18T00:00:00"/>
    <x v="2"/>
    <x v="1"/>
    <x v="2"/>
    <s v="Evergreen Mart"/>
    <n v="3"/>
    <n v="51.75"/>
    <n v="155.25"/>
    <n v="68.790000000000006"/>
    <n v="86.46"/>
    <x v="0"/>
    <x v="8"/>
  </r>
  <r>
    <s v="ORD-0389"/>
    <d v="2026-06-11T00:00:00"/>
    <x v="0"/>
    <x v="2"/>
    <x v="5"/>
    <s v="Evergreen Mart"/>
    <n v="1"/>
    <n v="502.22"/>
    <n v="502.22"/>
    <n v="337.12"/>
    <n v="165.1"/>
    <x v="1"/>
    <x v="5"/>
  </r>
  <r>
    <s v="ORD-0390"/>
    <d v="2026-01-31T00:00:00"/>
    <x v="0"/>
    <x v="1"/>
    <x v="2"/>
    <s v="Blue Sky Retail"/>
    <n v="1"/>
    <n v="61.87"/>
    <n v="61.87"/>
    <n v="26.87"/>
    <n v="35"/>
    <x v="1"/>
    <x v="1"/>
  </r>
  <r>
    <s v="ORD-0391"/>
    <d v="2025-08-17T00:00:00"/>
    <x v="2"/>
    <x v="0"/>
    <x v="10"/>
    <s v="Harbor Sales"/>
    <n v="8"/>
    <n v="16.739999999999998"/>
    <n v="133.91999999999999"/>
    <n v="50.67"/>
    <n v="83.25"/>
    <x v="0"/>
    <x v="7"/>
  </r>
  <r>
    <s v="ORD-0392"/>
    <d v="2026-02-05T00:00:00"/>
    <x v="2"/>
    <x v="0"/>
    <x v="0"/>
    <s v="Futura Works"/>
    <n v="2"/>
    <n v="23.11"/>
    <n v="46.22"/>
    <n v="20.309999999999999"/>
    <n v="25.91"/>
    <x v="1"/>
    <x v="10"/>
  </r>
  <r>
    <s v="ORD-0393"/>
    <d v="2025-10-20T00:00:00"/>
    <x v="1"/>
    <x v="0"/>
    <x v="1"/>
    <s v="Futura Works"/>
    <n v="2"/>
    <n v="48.34"/>
    <n v="96.68"/>
    <n v="41.8"/>
    <n v="54.88"/>
    <x v="0"/>
    <x v="6"/>
  </r>
  <r>
    <s v="ORD-0394"/>
    <d v="2026-01-03T00:00:00"/>
    <x v="0"/>
    <x v="2"/>
    <x v="5"/>
    <s v="Dawn Enterprises"/>
    <n v="2"/>
    <n v="516.29999999999995"/>
    <n v="1032.5999999999999"/>
    <n v="687.63"/>
    <n v="344.97"/>
    <x v="1"/>
    <x v="1"/>
  </r>
  <r>
    <s v="ORD-0395"/>
    <d v="2026-06-28T00:00:00"/>
    <x v="1"/>
    <x v="0"/>
    <x v="0"/>
    <s v="Harbor Sales"/>
    <n v="2"/>
    <n v="28.13"/>
    <n v="56.26"/>
    <n v="23.32"/>
    <n v="32.94"/>
    <x v="1"/>
    <x v="5"/>
  </r>
  <r>
    <s v="ORD-0396"/>
    <d v="2025-03-23T00:00:00"/>
    <x v="1"/>
    <x v="1"/>
    <x v="11"/>
    <s v="Harbor Sales"/>
    <n v="4"/>
    <n v="311.11"/>
    <n v="1244.44"/>
    <n v="913.47"/>
    <n v="330.97"/>
    <x v="0"/>
    <x v="9"/>
  </r>
  <r>
    <s v="ORD-0397"/>
    <d v="2025-04-22T00:00:00"/>
    <x v="3"/>
    <x v="0"/>
    <x v="1"/>
    <s v="Aarav Traders"/>
    <n v="8"/>
    <n v="49.68"/>
    <n v="397.44"/>
    <n v="191.73"/>
    <n v="205.71"/>
    <x v="0"/>
    <x v="3"/>
  </r>
  <r>
    <s v="ORD-0398"/>
    <d v="2025-07-26T00:00:00"/>
    <x v="3"/>
    <x v="2"/>
    <x v="3"/>
    <s v="Dawn Enterprises"/>
    <n v="1"/>
    <n v="463.74"/>
    <n v="463.74"/>
    <n v="291.88"/>
    <n v="171.86"/>
    <x v="0"/>
    <x v="8"/>
  </r>
  <r>
    <s v="ORD-0399"/>
    <d v="2025-03-16T00:00:00"/>
    <x v="2"/>
    <x v="2"/>
    <x v="5"/>
    <s v="Greenfield Co."/>
    <n v="3"/>
    <n v="475.01"/>
    <n v="1425.03"/>
    <n v="895.63"/>
    <n v="529.4"/>
    <x v="0"/>
    <x v="9"/>
  </r>
  <r>
    <s v="ORD-0400"/>
    <d v="2025-05-15T00:00:00"/>
    <x v="1"/>
    <x v="2"/>
    <x v="3"/>
    <s v="Aarav Traders"/>
    <n v="4"/>
    <n v="454.94"/>
    <n v="1819.76"/>
    <n v="1093.44"/>
    <n v="726.32"/>
    <x v="0"/>
    <x v="4"/>
  </r>
  <r>
    <s v="ORD-0401"/>
    <d v="2026-05-10T00:00:00"/>
    <x v="1"/>
    <x v="2"/>
    <x v="7"/>
    <s v="Evergreen Mart"/>
    <n v="5"/>
    <n v="157.02000000000001"/>
    <n v="785.1"/>
    <n v="418.31"/>
    <n v="366.79"/>
    <x v="1"/>
    <x v="4"/>
  </r>
  <r>
    <s v="ORD-0402"/>
    <d v="2026-05-07T00:00:00"/>
    <x v="1"/>
    <x v="2"/>
    <x v="9"/>
    <s v="Greenfield Co."/>
    <n v="2"/>
    <n v="282.3"/>
    <n v="564.6"/>
    <n v="352.15"/>
    <n v="212.45"/>
    <x v="1"/>
    <x v="4"/>
  </r>
  <r>
    <s v="ORD-0403"/>
    <d v="2025-04-23T00:00:00"/>
    <x v="2"/>
    <x v="1"/>
    <x v="2"/>
    <s v="Evergreen Mart"/>
    <n v="5"/>
    <n v="54.71"/>
    <n v="273.55"/>
    <n v="110.34"/>
    <n v="163.21"/>
    <x v="0"/>
    <x v="3"/>
  </r>
  <r>
    <s v="ORD-0404"/>
    <d v="2025-11-30T00:00:00"/>
    <x v="2"/>
    <x v="2"/>
    <x v="9"/>
    <s v="Evergreen Mart"/>
    <n v="2"/>
    <n v="261.64999999999998"/>
    <n v="523.29999999999995"/>
    <n v="314.77999999999997"/>
    <n v="208.52"/>
    <x v="0"/>
    <x v="2"/>
  </r>
  <r>
    <s v="ORD-0405"/>
    <d v="2026-02-26T00:00:00"/>
    <x v="0"/>
    <x v="2"/>
    <x v="7"/>
    <s v="Dawn Enterprises"/>
    <n v="3"/>
    <n v="155.27000000000001"/>
    <n v="465.81"/>
    <n v="278.23"/>
    <n v="187.58"/>
    <x v="1"/>
    <x v="10"/>
  </r>
  <r>
    <s v="ORD-0406"/>
    <d v="2025-08-29T00:00:00"/>
    <x v="3"/>
    <x v="1"/>
    <x v="11"/>
    <s v="Aarav Traders"/>
    <n v="3"/>
    <n v="347.48"/>
    <n v="1042.44"/>
    <n v="783.05"/>
    <n v="259.39"/>
    <x v="0"/>
    <x v="7"/>
  </r>
  <r>
    <s v="ORD-0407"/>
    <d v="2026-05-23T00:00:00"/>
    <x v="2"/>
    <x v="0"/>
    <x v="1"/>
    <s v="Harbor Sales"/>
    <n v="10"/>
    <n v="41.35"/>
    <n v="413.5"/>
    <n v="187.76"/>
    <n v="225.74"/>
    <x v="1"/>
    <x v="4"/>
  </r>
  <r>
    <s v="ORD-0408"/>
    <d v="2026-07-19T00:00:00"/>
    <x v="3"/>
    <x v="2"/>
    <x v="9"/>
    <s v="Dawn Enterprises"/>
    <n v="4"/>
    <n v="316.89"/>
    <n v="1267.56"/>
    <n v="739.66"/>
    <n v="527.9"/>
    <x v="1"/>
    <x v="8"/>
  </r>
  <r>
    <s v="ORD-0409"/>
    <d v="2025-05-16T00:00:00"/>
    <x v="3"/>
    <x v="1"/>
    <x v="6"/>
    <s v="Greenfield Co."/>
    <n v="3"/>
    <n v="1080.7"/>
    <n v="3242.1"/>
    <n v="2481.11"/>
    <n v="760.99"/>
    <x v="0"/>
    <x v="4"/>
  </r>
  <r>
    <s v="ORD-0410"/>
    <d v="2026-03-16T00:00:00"/>
    <x v="3"/>
    <x v="0"/>
    <x v="10"/>
    <s v="Blue Sky Retail"/>
    <n v="2"/>
    <n v="17.649999999999999"/>
    <n v="35.299999999999997"/>
    <n v="13.3"/>
    <n v="22"/>
    <x v="1"/>
    <x v="9"/>
  </r>
  <r>
    <s v="ORD-0411"/>
    <d v="2026-05-11T00:00:00"/>
    <x v="3"/>
    <x v="0"/>
    <x v="0"/>
    <s v="Harbor Sales"/>
    <n v="10"/>
    <n v="23.16"/>
    <n v="231.6"/>
    <n v="90.33"/>
    <n v="141.27000000000001"/>
    <x v="1"/>
    <x v="4"/>
  </r>
  <r>
    <s v="ORD-0412"/>
    <d v="2026-06-01T00:00:00"/>
    <x v="2"/>
    <x v="0"/>
    <x v="8"/>
    <s v="Harbor Sales"/>
    <n v="4"/>
    <n v="11.92"/>
    <n v="47.68"/>
    <n v="16.77"/>
    <n v="30.91"/>
    <x v="1"/>
    <x v="5"/>
  </r>
  <r>
    <s v="ORD-0413"/>
    <d v="2025-04-10T00:00:00"/>
    <x v="2"/>
    <x v="0"/>
    <x v="10"/>
    <s v="Greenfield Co."/>
    <n v="7"/>
    <n v="17.72"/>
    <n v="124.04"/>
    <n v="51.77"/>
    <n v="72.27"/>
    <x v="0"/>
    <x v="3"/>
  </r>
  <r>
    <s v="ORD-0414"/>
    <d v="2026-01-21T00:00:00"/>
    <x v="2"/>
    <x v="2"/>
    <x v="3"/>
    <s v="Evergreen Mart"/>
    <n v="2"/>
    <n v="444.3"/>
    <n v="888.6"/>
    <n v="582.05999999999995"/>
    <n v="306.54000000000002"/>
    <x v="1"/>
    <x v="1"/>
  </r>
  <r>
    <s v="ORD-0415"/>
    <d v="2026-03-26T00:00:00"/>
    <x v="3"/>
    <x v="2"/>
    <x v="5"/>
    <s v="Blue Sky Retail"/>
    <n v="3"/>
    <n v="481.95"/>
    <n v="1445.85"/>
    <n v="868.76"/>
    <n v="577.09"/>
    <x v="1"/>
    <x v="9"/>
  </r>
  <r>
    <s v="ORD-0416"/>
    <d v="2025-09-14T00:00:00"/>
    <x v="3"/>
    <x v="1"/>
    <x v="2"/>
    <s v="Aarav Traders"/>
    <n v="4"/>
    <n v="48.25"/>
    <n v="193"/>
    <n v="89.91"/>
    <n v="103.09"/>
    <x v="0"/>
    <x v="11"/>
  </r>
  <r>
    <s v="ORD-0417"/>
    <d v="2025-01-30T00:00:00"/>
    <x v="0"/>
    <x v="0"/>
    <x v="0"/>
    <s v="Futura Works"/>
    <n v="12"/>
    <n v="21.64"/>
    <n v="259.68"/>
    <n v="109.4"/>
    <n v="150.28"/>
    <x v="0"/>
    <x v="1"/>
  </r>
  <r>
    <s v="ORD-0418"/>
    <d v="2026-08-19T00:00:00"/>
    <x v="1"/>
    <x v="0"/>
    <x v="0"/>
    <s v="Crescent Stores"/>
    <n v="11"/>
    <n v="23.44"/>
    <n v="257.83999999999997"/>
    <n v="99.86"/>
    <n v="157.97999999999999"/>
    <x v="1"/>
    <x v="7"/>
  </r>
  <r>
    <s v="ORD-0419"/>
    <d v="2025-01-02T00:00:00"/>
    <x v="1"/>
    <x v="0"/>
    <x v="10"/>
    <s v="Evergreen Mart"/>
    <n v="1"/>
    <n v="17.010000000000002"/>
    <n v="17.010000000000002"/>
    <n v="6.55"/>
    <n v="10.46"/>
    <x v="0"/>
    <x v="1"/>
  </r>
  <r>
    <s v="ORD-0420"/>
    <d v="2025-01-09T00:00:00"/>
    <x v="0"/>
    <x v="0"/>
    <x v="1"/>
    <s v="Aarav Traders"/>
    <n v="5"/>
    <n v="40.25"/>
    <n v="201.25"/>
    <n v="88.48"/>
    <n v="112.77"/>
    <x v="0"/>
    <x v="1"/>
  </r>
  <r>
    <s v="ORD-0421"/>
    <d v="2025-08-07T00:00:00"/>
    <x v="3"/>
    <x v="1"/>
    <x v="6"/>
    <s v="Dawn Enterprises"/>
    <n v="5"/>
    <n v="965.43"/>
    <n v="4827.1499999999996"/>
    <n v="3610.15"/>
    <n v="1217"/>
    <x v="0"/>
    <x v="7"/>
  </r>
  <r>
    <s v="ORD-0422"/>
    <d v="2025-01-21T00:00:00"/>
    <x v="3"/>
    <x v="2"/>
    <x v="3"/>
    <s v="Crescent Stores"/>
    <n v="4"/>
    <n v="361.25"/>
    <n v="1445"/>
    <n v="916.83"/>
    <n v="528.16999999999996"/>
    <x v="0"/>
    <x v="1"/>
  </r>
  <r>
    <s v="ORD-0423"/>
    <d v="2025-11-22T00:00:00"/>
    <x v="1"/>
    <x v="1"/>
    <x v="4"/>
    <s v="Evergreen Mart"/>
    <n v="4"/>
    <n v="232.68"/>
    <n v="930.72"/>
    <n v="577.1"/>
    <n v="353.62"/>
    <x v="0"/>
    <x v="2"/>
  </r>
  <r>
    <s v="ORD-0424"/>
    <d v="2025-02-09T00:00:00"/>
    <x v="1"/>
    <x v="2"/>
    <x v="5"/>
    <s v="Crescent Stores"/>
    <n v="1"/>
    <n v="547.92999999999995"/>
    <n v="547.92999999999995"/>
    <n v="346.55"/>
    <n v="201.38"/>
    <x v="0"/>
    <x v="10"/>
  </r>
  <r>
    <s v="ORD-0425"/>
    <d v="2025-09-22T00:00:00"/>
    <x v="3"/>
    <x v="2"/>
    <x v="5"/>
    <s v="Blue Sky Retail"/>
    <n v="5"/>
    <n v="460.75"/>
    <n v="2303.75"/>
    <n v="1530.75"/>
    <n v="773"/>
    <x v="0"/>
    <x v="11"/>
  </r>
  <r>
    <s v="ORD-0426"/>
    <d v="2026-02-24T00:00:00"/>
    <x v="1"/>
    <x v="2"/>
    <x v="9"/>
    <s v="Dawn Enterprises"/>
    <n v="1"/>
    <n v="293.52"/>
    <n v="293.52"/>
    <n v="169.66"/>
    <n v="123.86"/>
    <x v="1"/>
    <x v="10"/>
  </r>
  <r>
    <s v="ORD-0427"/>
    <d v="2025-09-28T00:00:00"/>
    <x v="0"/>
    <x v="2"/>
    <x v="5"/>
    <s v="Greenfield Co."/>
    <n v="3"/>
    <n v="528.29"/>
    <n v="1584.87"/>
    <n v="1063.8699999999999"/>
    <n v="521"/>
    <x v="0"/>
    <x v="11"/>
  </r>
  <r>
    <s v="ORD-0428"/>
    <d v="2026-04-28T00:00:00"/>
    <x v="0"/>
    <x v="0"/>
    <x v="10"/>
    <s v="Dawn Enterprises"/>
    <n v="4"/>
    <n v="20.3"/>
    <n v="81.2"/>
    <n v="34.119999999999997"/>
    <n v="47.08"/>
    <x v="1"/>
    <x v="3"/>
  </r>
  <r>
    <s v="ORD-0429"/>
    <d v="2025-05-25T00:00:00"/>
    <x v="3"/>
    <x v="2"/>
    <x v="3"/>
    <s v="Greenfield Co."/>
    <n v="3"/>
    <n v="432.67"/>
    <n v="1298.01"/>
    <n v="760.3"/>
    <n v="537.71"/>
    <x v="0"/>
    <x v="4"/>
  </r>
  <r>
    <s v="ORD-0430"/>
    <d v="2026-04-08T00:00:00"/>
    <x v="2"/>
    <x v="0"/>
    <x v="10"/>
    <s v="Blue Sky Retail"/>
    <n v="11"/>
    <n v="18.36"/>
    <n v="201.96"/>
    <n v="71.27"/>
    <n v="130.69"/>
    <x v="1"/>
    <x v="3"/>
  </r>
  <r>
    <s v="ORD-0431"/>
    <d v="2026-06-01T00:00:00"/>
    <x v="0"/>
    <x v="2"/>
    <x v="9"/>
    <s v="Blue Sky Retail"/>
    <n v="4"/>
    <n v="255.93"/>
    <n v="1023.72"/>
    <n v="626.33000000000004"/>
    <n v="397.39"/>
    <x v="1"/>
    <x v="5"/>
  </r>
  <r>
    <s v="ORD-0432"/>
    <d v="2026-05-07T00:00:00"/>
    <x v="2"/>
    <x v="0"/>
    <x v="1"/>
    <s v="Dawn Enterprises"/>
    <n v="9"/>
    <n v="49.35"/>
    <n v="444.15"/>
    <n v="198.59"/>
    <n v="245.56"/>
    <x v="1"/>
    <x v="4"/>
  </r>
  <r>
    <s v="ORD-0433"/>
    <d v="2025-09-22T00:00:00"/>
    <x v="2"/>
    <x v="2"/>
    <x v="3"/>
    <s v="Aarav Traders"/>
    <n v="4"/>
    <n v="451.71"/>
    <n v="1806.84"/>
    <n v="1120.79"/>
    <n v="686.05"/>
    <x v="0"/>
    <x v="11"/>
  </r>
  <r>
    <s v="ORD-0434"/>
    <d v="2025-01-06T00:00:00"/>
    <x v="1"/>
    <x v="0"/>
    <x v="10"/>
    <s v="Dawn Enterprises"/>
    <n v="9"/>
    <n v="15.83"/>
    <n v="142.47"/>
    <n v="59.41"/>
    <n v="83.06"/>
    <x v="0"/>
    <x v="1"/>
  </r>
  <r>
    <s v="ORD-0435"/>
    <d v="2025-09-17T00:00:00"/>
    <x v="0"/>
    <x v="0"/>
    <x v="0"/>
    <s v="Greenfield Co."/>
    <n v="9"/>
    <n v="22.56"/>
    <n v="203.04"/>
    <n v="80.89"/>
    <n v="122.15"/>
    <x v="0"/>
    <x v="11"/>
  </r>
  <r>
    <s v="ORD-0436"/>
    <d v="2026-05-28T00:00:00"/>
    <x v="3"/>
    <x v="0"/>
    <x v="1"/>
    <s v="Crescent Stores"/>
    <n v="11"/>
    <n v="39.94"/>
    <n v="439.34"/>
    <n v="207.88"/>
    <n v="231.46"/>
    <x v="1"/>
    <x v="4"/>
  </r>
  <r>
    <s v="ORD-0437"/>
    <d v="2025-10-02T00:00:00"/>
    <x v="3"/>
    <x v="0"/>
    <x v="0"/>
    <s v="Greenfield Co."/>
    <n v="7"/>
    <n v="25.9"/>
    <n v="181.3"/>
    <n v="81.84"/>
    <n v="99.46"/>
    <x v="0"/>
    <x v="6"/>
  </r>
  <r>
    <s v="ORD-0438"/>
    <d v="2026-04-13T00:00:00"/>
    <x v="0"/>
    <x v="2"/>
    <x v="3"/>
    <s v="Crescent Stores"/>
    <n v="2"/>
    <n v="455.17"/>
    <n v="910.34"/>
    <n v="564.5"/>
    <n v="345.84"/>
    <x v="1"/>
    <x v="3"/>
  </r>
  <r>
    <s v="ORD-0439"/>
    <d v="2025-11-06T00:00:00"/>
    <x v="2"/>
    <x v="1"/>
    <x v="6"/>
    <s v="Crescent Stores"/>
    <n v="2"/>
    <n v="919.32"/>
    <n v="1838.64"/>
    <n v="1386.2"/>
    <n v="452.44"/>
    <x v="0"/>
    <x v="2"/>
  </r>
  <r>
    <s v="ORD-0440"/>
    <d v="2025-03-03T00:00:00"/>
    <x v="2"/>
    <x v="1"/>
    <x v="2"/>
    <s v="Crescent Stores"/>
    <n v="4"/>
    <n v="53.17"/>
    <n v="212.68"/>
    <n v="89.47"/>
    <n v="123.21"/>
    <x v="0"/>
    <x v="9"/>
  </r>
  <r>
    <s v="ORD-0441"/>
    <d v="2025-09-10T00:00:00"/>
    <x v="2"/>
    <x v="0"/>
    <x v="1"/>
    <s v="Crescent Stores"/>
    <n v="5"/>
    <n v="40.479999999999997"/>
    <n v="202.4"/>
    <n v="87.26"/>
    <n v="115.14"/>
    <x v="0"/>
    <x v="11"/>
  </r>
  <r>
    <s v="ORD-0442"/>
    <d v="2025-06-06T00:00:00"/>
    <x v="0"/>
    <x v="0"/>
    <x v="10"/>
    <s v="Crescent Stores"/>
    <n v="12"/>
    <n v="15.93"/>
    <n v="191.16"/>
    <n v="68.13"/>
    <n v="123.03"/>
    <x v="0"/>
    <x v="5"/>
  </r>
  <r>
    <s v="ORD-0443"/>
    <d v="2026-03-30T00:00:00"/>
    <x v="1"/>
    <x v="0"/>
    <x v="0"/>
    <s v="Blue Sky Retail"/>
    <n v="1"/>
    <n v="23.22"/>
    <n v="23.22"/>
    <n v="10.34"/>
    <n v="12.88"/>
    <x v="1"/>
    <x v="9"/>
  </r>
  <r>
    <s v="ORD-0444"/>
    <d v="2026-07-23T00:00:00"/>
    <x v="2"/>
    <x v="2"/>
    <x v="7"/>
    <s v="Dawn Enterprises"/>
    <n v="4"/>
    <n v="170.99"/>
    <n v="683.96"/>
    <n v="371.88"/>
    <n v="312.08"/>
    <x v="1"/>
    <x v="8"/>
  </r>
  <r>
    <s v="ORD-0445"/>
    <d v="2025-04-16T00:00:00"/>
    <x v="1"/>
    <x v="2"/>
    <x v="9"/>
    <s v="Futura Works"/>
    <n v="4"/>
    <n v="251.54"/>
    <n v="1006.16"/>
    <n v="569.88"/>
    <n v="436.28"/>
    <x v="0"/>
    <x v="3"/>
  </r>
  <r>
    <s v="ORD-0446"/>
    <d v="2026-07-29T00:00:00"/>
    <x v="1"/>
    <x v="1"/>
    <x v="4"/>
    <s v="Aarav Traders"/>
    <n v="5"/>
    <n v="220.22"/>
    <n v="1101.0999999999999"/>
    <n v="720.43"/>
    <n v="380.67"/>
    <x v="1"/>
    <x v="8"/>
  </r>
  <r>
    <s v="ORD-0447"/>
    <d v="2026-01-18T00:00:00"/>
    <x v="3"/>
    <x v="0"/>
    <x v="10"/>
    <s v="Dawn Enterprises"/>
    <n v="5"/>
    <n v="19.98"/>
    <n v="99.9"/>
    <n v="39.49"/>
    <n v="60.41"/>
    <x v="1"/>
    <x v="1"/>
  </r>
  <r>
    <s v="ORD-0448"/>
    <d v="2026-06-19T00:00:00"/>
    <x v="1"/>
    <x v="0"/>
    <x v="10"/>
    <s v="Aarav Traders"/>
    <n v="3"/>
    <n v="18.41"/>
    <n v="55.23"/>
    <n v="22.87"/>
    <n v="32.36"/>
    <x v="1"/>
    <x v="5"/>
  </r>
  <r>
    <s v="ORD-0449"/>
    <d v="2026-04-26T00:00:00"/>
    <x v="3"/>
    <x v="0"/>
    <x v="10"/>
    <s v="Harbor Sales"/>
    <n v="9"/>
    <n v="19.59"/>
    <n v="176.31"/>
    <n v="68.02"/>
    <n v="108.29"/>
    <x v="1"/>
    <x v="3"/>
  </r>
  <r>
    <s v="ORD-0450"/>
    <d v="2025-12-31T00:00:00"/>
    <x v="2"/>
    <x v="2"/>
    <x v="7"/>
    <s v="Dawn Enterprises"/>
    <n v="2"/>
    <n v="200.6"/>
    <n v="401.2"/>
    <n v="223.49"/>
    <n v="177.71"/>
    <x v="0"/>
    <x v="0"/>
  </r>
  <r>
    <s v="ORD-0451"/>
    <d v="2025-10-07T00:00:00"/>
    <x v="1"/>
    <x v="0"/>
    <x v="8"/>
    <s v="Blue Sky Retail"/>
    <n v="8"/>
    <n v="11.92"/>
    <n v="95.36"/>
    <n v="33.94"/>
    <n v="61.42"/>
    <x v="0"/>
    <x v="6"/>
  </r>
  <r>
    <s v="ORD-0452"/>
    <d v="2025-05-11T00:00:00"/>
    <x v="2"/>
    <x v="1"/>
    <x v="6"/>
    <s v="Blue Sky Retail"/>
    <n v="5"/>
    <n v="1054.27"/>
    <n v="5271.35"/>
    <n v="4101.74"/>
    <n v="1169.6099999999999"/>
    <x v="0"/>
    <x v="4"/>
  </r>
  <r>
    <s v="ORD-0453"/>
    <d v="2025-05-14T00:00:00"/>
    <x v="0"/>
    <x v="1"/>
    <x v="4"/>
    <s v="Harbor Sales"/>
    <n v="1"/>
    <n v="219.33"/>
    <n v="219.33"/>
    <n v="146"/>
    <n v="73.33"/>
    <x v="0"/>
    <x v="4"/>
  </r>
  <r>
    <s v="ORD-0454"/>
    <d v="2026-05-22T00:00:00"/>
    <x v="3"/>
    <x v="0"/>
    <x v="10"/>
    <s v="Blue Sky Retail"/>
    <n v="6"/>
    <n v="20.32"/>
    <n v="121.92"/>
    <n v="51.03"/>
    <n v="70.89"/>
    <x v="1"/>
    <x v="4"/>
  </r>
  <r>
    <s v="ORD-0455"/>
    <d v="2025-11-03T00:00:00"/>
    <x v="0"/>
    <x v="1"/>
    <x v="6"/>
    <s v="Blue Sky Retail"/>
    <n v="3"/>
    <n v="839.58"/>
    <n v="2518.7399999999998"/>
    <n v="1875.63"/>
    <n v="643.11"/>
    <x v="0"/>
    <x v="2"/>
  </r>
  <r>
    <s v="ORD-0456"/>
    <d v="2026-01-06T00:00:00"/>
    <x v="1"/>
    <x v="2"/>
    <x v="5"/>
    <s v="Blue Sky Retail"/>
    <n v="4"/>
    <n v="460.64"/>
    <n v="1842.56"/>
    <n v="1173.01"/>
    <n v="669.55"/>
    <x v="1"/>
    <x v="1"/>
  </r>
  <r>
    <s v="ORD-0457"/>
    <d v="2025-01-29T00:00:00"/>
    <x v="3"/>
    <x v="1"/>
    <x v="2"/>
    <s v="Futura Works"/>
    <n v="3"/>
    <n v="59.39"/>
    <n v="178.17"/>
    <n v="81.010000000000005"/>
    <n v="97.16"/>
    <x v="0"/>
    <x v="1"/>
  </r>
  <r>
    <s v="ORD-0458"/>
    <d v="2025-07-05T00:00:00"/>
    <x v="1"/>
    <x v="1"/>
    <x v="11"/>
    <s v="Greenfield Co."/>
    <n v="2"/>
    <n v="339.7"/>
    <n v="679.4"/>
    <n v="467.01"/>
    <n v="212.39"/>
    <x v="0"/>
    <x v="8"/>
  </r>
  <r>
    <s v="ORD-0459"/>
    <d v="2025-09-23T00:00:00"/>
    <x v="0"/>
    <x v="0"/>
    <x v="8"/>
    <s v="Futura Works"/>
    <n v="8"/>
    <n v="12.53"/>
    <n v="100.24"/>
    <n v="34.049999999999997"/>
    <n v="66.19"/>
    <x v="0"/>
    <x v="11"/>
  </r>
  <r>
    <s v="ORD-0460"/>
    <d v="2025-11-16T00:00:00"/>
    <x v="3"/>
    <x v="1"/>
    <x v="2"/>
    <s v="Aarav Traders"/>
    <n v="5"/>
    <n v="62.33"/>
    <n v="311.64999999999998"/>
    <n v="135.26"/>
    <n v="176.39"/>
    <x v="0"/>
    <x v="2"/>
  </r>
  <r>
    <s v="ORD-0461"/>
    <d v="2025-10-29T00:00:00"/>
    <x v="0"/>
    <x v="0"/>
    <x v="1"/>
    <s v="Futura Works"/>
    <n v="6"/>
    <n v="39.42"/>
    <n v="236.52"/>
    <n v="112.33"/>
    <n v="124.19"/>
    <x v="0"/>
    <x v="6"/>
  </r>
  <r>
    <s v="ORD-0462"/>
    <d v="2026-07-06T00:00:00"/>
    <x v="1"/>
    <x v="0"/>
    <x v="0"/>
    <s v="Aarav Traders"/>
    <n v="12"/>
    <n v="24.51"/>
    <n v="294.12"/>
    <n v="118.49"/>
    <n v="175.63"/>
    <x v="1"/>
    <x v="8"/>
  </r>
  <r>
    <s v="ORD-0463"/>
    <d v="2025-07-14T00:00:00"/>
    <x v="0"/>
    <x v="2"/>
    <x v="7"/>
    <s v="Evergreen Mart"/>
    <n v="3"/>
    <n v="166.75"/>
    <n v="500.25"/>
    <n v="262.17"/>
    <n v="238.08"/>
    <x v="0"/>
    <x v="8"/>
  </r>
  <r>
    <s v="ORD-0464"/>
    <d v="2025-08-30T00:00:00"/>
    <x v="2"/>
    <x v="2"/>
    <x v="5"/>
    <s v="Aarav Traders"/>
    <n v="4"/>
    <n v="473.51"/>
    <n v="1894.04"/>
    <n v="1246.6199999999999"/>
    <n v="647.41999999999996"/>
    <x v="0"/>
    <x v="7"/>
  </r>
  <r>
    <s v="ORD-0465"/>
    <d v="2025-03-06T00:00:00"/>
    <x v="1"/>
    <x v="1"/>
    <x v="4"/>
    <s v="Crescent Stores"/>
    <n v="5"/>
    <n v="208.66"/>
    <n v="1043.3"/>
    <n v="677.48"/>
    <n v="365.82"/>
    <x v="0"/>
    <x v="9"/>
  </r>
  <r>
    <s v="ORD-0466"/>
    <d v="2025-11-30T00:00:00"/>
    <x v="0"/>
    <x v="0"/>
    <x v="1"/>
    <s v="Greenfield Co."/>
    <n v="7"/>
    <n v="41.65"/>
    <n v="291.55"/>
    <n v="133.47"/>
    <n v="158.08000000000001"/>
    <x v="0"/>
    <x v="2"/>
  </r>
  <r>
    <s v="ORD-0467"/>
    <d v="2026-03-11T00:00:00"/>
    <x v="3"/>
    <x v="0"/>
    <x v="10"/>
    <s v="Harbor Sales"/>
    <n v="11"/>
    <n v="16.79"/>
    <n v="184.69"/>
    <n v="73.55"/>
    <n v="111.14"/>
    <x v="1"/>
    <x v="9"/>
  </r>
  <r>
    <s v="ORD-0468"/>
    <d v="2026-05-06T00:00:00"/>
    <x v="2"/>
    <x v="2"/>
    <x v="5"/>
    <s v="Aarav Traders"/>
    <n v="5"/>
    <n v="524.66"/>
    <n v="2623.3"/>
    <n v="1773.29"/>
    <n v="850.01"/>
    <x v="1"/>
    <x v="4"/>
  </r>
  <r>
    <s v="ORD-0469"/>
    <d v="2026-04-07T00:00:00"/>
    <x v="0"/>
    <x v="1"/>
    <x v="4"/>
    <s v="Crescent Stores"/>
    <n v="1"/>
    <n v="220.63"/>
    <n v="220.63"/>
    <n v="135.24"/>
    <n v="85.39"/>
    <x v="1"/>
    <x v="3"/>
  </r>
  <r>
    <s v="ORD-0470"/>
    <d v="2025-09-11T00:00:00"/>
    <x v="2"/>
    <x v="0"/>
    <x v="10"/>
    <s v="Blue Sky Retail"/>
    <n v="10"/>
    <n v="16.3"/>
    <n v="163"/>
    <n v="66.89"/>
    <n v="96.11"/>
    <x v="0"/>
    <x v="11"/>
  </r>
  <r>
    <s v="ORD-0471"/>
    <d v="2026-02-13T00:00:00"/>
    <x v="2"/>
    <x v="2"/>
    <x v="9"/>
    <s v="Futura Works"/>
    <n v="4"/>
    <n v="305.3"/>
    <n v="1221.2"/>
    <n v="693.13"/>
    <n v="528.07000000000005"/>
    <x v="1"/>
    <x v="10"/>
  </r>
  <r>
    <s v="ORD-0472"/>
    <d v="2025-04-04T00:00:00"/>
    <x v="2"/>
    <x v="0"/>
    <x v="0"/>
    <s v="Blue Sky Retail"/>
    <n v="4"/>
    <n v="28.01"/>
    <n v="112.04"/>
    <n v="47.95"/>
    <n v="64.09"/>
    <x v="0"/>
    <x v="3"/>
  </r>
  <r>
    <s v="ORD-0473"/>
    <d v="2026-08-19T00:00:00"/>
    <x v="2"/>
    <x v="2"/>
    <x v="7"/>
    <s v="Evergreen Mart"/>
    <n v="4"/>
    <n v="183.01"/>
    <n v="732.04"/>
    <n v="400.94"/>
    <n v="331.1"/>
    <x v="1"/>
    <x v="7"/>
  </r>
  <r>
    <s v="ORD-0474"/>
    <d v="2026-04-25T00:00:00"/>
    <x v="2"/>
    <x v="1"/>
    <x v="11"/>
    <s v="Futura Works"/>
    <n v="1"/>
    <n v="298.92"/>
    <n v="298.92"/>
    <n v="227.13"/>
    <n v="71.790000000000006"/>
    <x v="1"/>
    <x v="3"/>
  </r>
  <r>
    <s v="ORD-0475"/>
    <d v="2026-02-23T00:00:00"/>
    <x v="0"/>
    <x v="2"/>
    <x v="9"/>
    <s v="Aarav Traders"/>
    <n v="3"/>
    <n v="246.05"/>
    <n v="738.15"/>
    <n v="418.09"/>
    <n v="320.06"/>
    <x v="1"/>
    <x v="10"/>
  </r>
  <r>
    <s v="ORD-0476"/>
    <d v="2025-11-22T00:00:00"/>
    <x v="2"/>
    <x v="1"/>
    <x v="11"/>
    <s v="Crescent Stores"/>
    <n v="2"/>
    <n v="292.8"/>
    <n v="585.6"/>
    <n v="436.8"/>
    <n v="148.80000000000001"/>
    <x v="0"/>
    <x v="2"/>
  </r>
  <r>
    <s v="ORD-0477"/>
    <d v="2026-02-15T00:00:00"/>
    <x v="0"/>
    <x v="0"/>
    <x v="0"/>
    <s v="Evergreen Mart"/>
    <n v="5"/>
    <n v="23.78"/>
    <n v="118.9"/>
    <n v="51.01"/>
    <n v="67.89"/>
    <x v="1"/>
    <x v="10"/>
  </r>
  <r>
    <s v="ORD-0478"/>
    <d v="2026-04-28T00:00:00"/>
    <x v="3"/>
    <x v="0"/>
    <x v="0"/>
    <s v="Harbor Sales"/>
    <n v="10"/>
    <n v="27.76"/>
    <n v="277.60000000000002"/>
    <n v="124.77"/>
    <n v="152.83000000000001"/>
    <x v="1"/>
    <x v="3"/>
  </r>
  <r>
    <s v="ORD-0479"/>
    <d v="2026-07-04T00:00:00"/>
    <x v="0"/>
    <x v="1"/>
    <x v="2"/>
    <s v="Evergreen Mart"/>
    <n v="1"/>
    <n v="49.01"/>
    <n v="49.01"/>
    <n v="19.84"/>
    <n v="29.17"/>
    <x v="1"/>
    <x v="8"/>
  </r>
  <r>
    <s v="ORD-0480"/>
    <d v="2026-05-22T00:00:00"/>
    <x v="2"/>
    <x v="0"/>
    <x v="8"/>
    <s v="Blue Sky Retail"/>
    <n v="7"/>
    <n v="11.28"/>
    <n v="78.959999999999994"/>
    <n v="27.4"/>
    <n v="51.56"/>
    <x v="1"/>
    <x v="4"/>
  </r>
  <r>
    <s v="ORD-0481"/>
    <d v="2026-03-28T00:00:00"/>
    <x v="3"/>
    <x v="2"/>
    <x v="3"/>
    <s v="Harbor Sales"/>
    <n v="2"/>
    <n v="426.32"/>
    <n v="852.64"/>
    <n v="531.54"/>
    <n v="321.10000000000002"/>
    <x v="1"/>
    <x v="9"/>
  </r>
  <r>
    <s v="ORD-0482"/>
    <d v="2026-03-02T00:00:00"/>
    <x v="2"/>
    <x v="0"/>
    <x v="10"/>
    <s v="Harbor Sales"/>
    <n v="3"/>
    <n v="17.3"/>
    <n v="51.9"/>
    <n v="19.23"/>
    <n v="32.67"/>
    <x v="1"/>
    <x v="9"/>
  </r>
  <r>
    <s v="ORD-0483"/>
    <d v="2025-02-26T00:00:00"/>
    <x v="3"/>
    <x v="1"/>
    <x v="2"/>
    <s v="Aarav Traders"/>
    <n v="1"/>
    <n v="50.59"/>
    <n v="50.59"/>
    <n v="20.65"/>
    <n v="29.94"/>
    <x v="0"/>
    <x v="10"/>
  </r>
  <r>
    <s v="ORD-0484"/>
    <d v="2025-05-28T00:00:00"/>
    <x v="2"/>
    <x v="0"/>
    <x v="0"/>
    <s v="Dawn Enterprises"/>
    <n v="5"/>
    <n v="26.17"/>
    <n v="130.85"/>
    <n v="57.39"/>
    <n v="73.459999999999994"/>
    <x v="0"/>
    <x v="4"/>
  </r>
  <r>
    <s v="ORD-0485"/>
    <d v="2025-05-06T00:00:00"/>
    <x v="1"/>
    <x v="2"/>
    <x v="5"/>
    <s v="Evergreen Mart"/>
    <n v="3"/>
    <n v="439.02"/>
    <n v="1317.06"/>
    <n v="823.25"/>
    <n v="493.81"/>
    <x v="0"/>
    <x v="4"/>
  </r>
  <r>
    <s v="ORD-0486"/>
    <d v="2026-01-08T00:00:00"/>
    <x v="3"/>
    <x v="1"/>
    <x v="4"/>
    <s v="Evergreen Mart"/>
    <n v="2"/>
    <n v="206.89"/>
    <n v="413.78"/>
    <n v="265.02"/>
    <n v="148.76"/>
    <x v="1"/>
    <x v="1"/>
  </r>
  <r>
    <s v="ORD-0487"/>
    <d v="2025-06-02T00:00:00"/>
    <x v="0"/>
    <x v="0"/>
    <x v="1"/>
    <s v="Futura Works"/>
    <n v="2"/>
    <n v="39.700000000000003"/>
    <n v="79.400000000000006"/>
    <n v="36.47"/>
    <n v="42.93"/>
    <x v="0"/>
    <x v="5"/>
  </r>
  <r>
    <s v="ORD-0488"/>
    <d v="2026-03-14T00:00:00"/>
    <x v="3"/>
    <x v="0"/>
    <x v="8"/>
    <s v="Harbor Sales"/>
    <n v="6"/>
    <n v="10.33"/>
    <n v="61.98"/>
    <n v="22.71"/>
    <n v="39.270000000000003"/>
    <x v="1"/>
    <x v="9"/>
  </r>
  <r>
    <s v="ORD-0489"/>
    <d v="2026-05-16T00:00:00"/>
    <x v="1"/>
    <x v="2"/>
    <x v="5"/>
    <s v="Evergreen Mart"/>
    <n v="4"/>
    <n v="476.19"/>
    <n v="1904.76"/>
    <n v="1259.17"/>
    <n v="645.59"/>
    <x v="1"/>
    <x v="4"/>
  </r>
  <r>
    <s v="ORD-0490"/>
    <d v="2026-02-13T00:00:00"/>
    <x v="2"/>
    <x v="1"/>
    <x v="4"/>
    <s v="Crescent Stores"/>
    <n v="5"/>
    <n v="210.91"/>
    <n v="1054.55"/>
    <n v="655.04999999999995"/>
    <n v="399.5"/>
    <x v="1"/>
    <x v="10"/>
  </r>
  <r>
    <s v="ORD-0491"/>
    <d v="2026-05-08T00:00:00"/>
    <x v="0"/>
    <x v="0"/>
    <x v="8"/>
    <s v="Aarav Traders"/>
    <n v="9"/>
    <n v="11.95"/>
    <n v="107.55"/>
    <n v="41.74"/>
    <n v="65.81"/>
    <x v="1"/>
    <x v="4"/>
  </r>
  <r>
    <s v="ORD-0492"/>
    <d v="2025-02-25T00:00:00"/>
    <x v="1"/>
    <x v="1"/>
    <x v="6"/>
    <s v="Harbor Sales"/>
    <n v="2"/>
    <n v="834.12"/>
    <n v="1668.24"/>
    <n v="1204.52"/>
    <n v="463.72"/>
    <x v="0"/>
    <x v="10"/>
  </r>
  <r>
    <s v="ORD-0493"/>
    <d v="2025-07-05T00:00:00"/>
    <x v="0"/>
    <x v="1"/>
    <x v="4"/>
    <s v="Futura Works"/>
    <n v="4"/>
    <n v="211.44"/>
    <n v="845.76"/>
    <n v="560.94000000000005"/>
    <n v="284.82"/>
    <x v="0"/>
    <x v="8"/>
  </r>
  <r>
    <s v="ORD-0494"/>
    <d v="2025-03-18T00:00:00"/>
    <x v="1"/>
    <x v="0"/>
    <x v="1"/>
    <s v="Crescent Stores"/>
    <n v="11"/>
    <n v="41.25"/>
    <n v="453.75"/>
    <n v="207.48"/>
    <n v="246.27"/>
    <x v="0"/>
    <x v="9"/>
  </r>
  <r>
    <s v="ORD-0495"/>
    <d v="2026-05-02T00:00:00"/>
    <x v="1"/>
    <x v="0"/>
    <x v="10"/>
    <s v="Harbor Sales"/>
    <n v="1"/>
    <n v="18.7"/>
    <n v="18.7"/>
    <n v="6.6"/>
    <n v="12.1"/>
    <x v="1"/>
    <x v="4"/>
  </r>
  <r>
    <s v="ORD-0496"/>
    <d v="2026-04-29T00:00:00"/>
    <x v="1"/>
    <x v="1"/>
    <x v="2"/>
    <s v="Evergreen Mart"/>
    <n v="3"/>
    <n v="56.12"/>
    <n v="168.36"/>
    <n v="77.48"/>
    <n v="90.88"/>
    <x v="1"/>
    <x v="3"/>
  </r>
  <r>
    <s v="ORD-0497"/>
    <d v="2026-01-03T00:00:00"/>
    <x v="1"/>
    <x v="0"/>
    <x v="0"/>
    <s v="Futura Works"/>
    <n v="10"/>
    <n v="21.6"/>
    <n v="216"/>
    <n v="85.52"/>
    <n v="130.47999999999999"/>
    <x v="1"/>
    <x v="1"/>
  </r>
  <r>
    <s v="ORD-0498"/>
    <d v="2026-06-15T00:00:00"/>
    <x v="1"/>
    <x v="2"/>
    <x v="7"/>
    <s v="Crescent Stores"/>
    <n v="3"/>
    <n v="201.15"/>
    <n v="603.45000000000005"/>
    <n v="351.41"/>
    <n v="252.04"/>
    <x v="1"/>
    <x v="5"/>
  </r>
  <r>
    <s v="ORD-0499"/>
    <d v="2025-10-21T00:00:00"/>
    <x v="1"/>
    <x v="1"/>
    <x v="6"/>
    <s v="Evergreen Mart"/>
    <n v="4"/>
    <n v="1071.75"/>
    <n v="4287"/>
    <n v="3329.5"/>
    <n v="957.5"/>
    <x v="0"/>
    <x v="6"/>
  </r>
  <r>
    <s v="ORD-0500"/>
    <d v="2025-11-09T00:00:00"/>
    <x v="3"/>
    <x v="0"/>
    <x v="8"/>
    <s v="Greenfield Co."/>
    <n v="3"/>
    <n v="12.99"/>
    <n v="38.97"/>
    <n v="14.15"/>
    <n v="24.82"/>
    <x v="0"/>
    <x v="2"/>
  </r>
  <r>
    <s v="ORD-0501"/>
    <d v="2026-07-12T00:00:00"/>
    <x v="2"/>
    <x v="0"/>
    <x v="1"/>
    <s v="Crescent Stores"/>
    <n v="10"/>
    <n v="50.04"/>
    <n v="500.4"/>
    <n v="249.26"/>
    <n v="251.14"/>
    <x v="1"/>
    <x v="8"/>
  </r>
  <r>
    <s v="ORD-0502"/>
    <d v="2025-08-01T00:00:00"/>
    <x v="1"/>
    <x v="0"/>
    <x v="8"/>
    <s v="Blue Sky Retail"/>
    <n v="1"/>
    <n v="12.51"/>
    <n v="12.51"/>
    <n v="4.8"/>
    <n v="7.71"/>
    <x v="0"/>
    <x v="7"/>
  </r>
  <r>
    <s v="ORD-0503"/>
    <d v="2025-06-09T00:00:00"/>
    <x v="1"/>
    <x v="1"/>
    <x v="11"/>
    <s v="Crescent Stores"/>
    <n v="2"/>
    <n v="290.5"/>
    <n v="581"/>
    <n v="431.55"/>
    <n v="149.44999999999999"/>
    <x v="0"/>
    <x v="5"/>
  </r>
  <r>
    <s v="ORD-0504"/>
    <d v="2025-04-03T00:00:00"/>
    <x v="3"/>
    <x v="1"/>
    <x v="2"/>
    <s v="Evergreen Mart"/>
    <n v="2"/>
    <n v="47.98"/>
    <n v="95.96"/>
    <n v="44.44"/>
    <n v="51.52"/>
    <x v="0"/>
    <x v="3"/>
  </r>
  <r>
    <s v="ORD-0505"/>
    <d v="2025-07-22T00:00:00"/>
    <x v="1"/>
    <x v="1"/>
    <x v="4"/>
    <s v="Blue Sky Retail"/>
    <n v="3"/>
    <n v="222.16"/>
    <n v="666.48"/>
    <n v="419.07"/>
    <n v="247.41"/>
    <x v="0"/>
    <x v="8"/>
  </r>
  <r>
    <s v="ORD-0506"/>
    <d v="2026-06-09T00:00:00"/>
    <x v="1"/>
    <x v="1"/>
    <x v="2"/>
    <s v="Harbor Sales"/>
    <n v="5"/>
    <n v="59.57"/>
    <n v="297.85000000000002"/>
    <n v="125.79"/>
    <n v="172.06"/>
    <x v="1"/>
    <x v="5"/>
  </r>
  <r>
    <s v="ORD-0507"/>
    <d v="2026-07-25T00:00:00"/>
    <x v="3"/>
    <x v="1"/>
    <x v="11"/>
    <s v="Blue Sky Retail"/>
    <n v="4"/>
    <n v="359.02"/>
    <n v="1436.08"/>
    <n v="1080.21"/>
    <n v="355.87"/>
    <x v="1"/>
    <x v="8"/>
  </r>
  <r>
    <s v="ORD-0508"/>
    <d v="2026-07-11T00:00:00"/>
    <x v="0"/>
    <x v="2"/>
    <x v="3"/>
    <s v="Harbor Sales"/>
    <n v="2"/>
    <n v="408.71"/>
    <n v="817.42"/>
    <n v="521.47"/>
    <n v="295.95"/>
    <x v="1"/>
    <x v="8"/>
  </r>
  <r>
    <s v="ORD-0509"/>
    <d v="2025-07-03T00:00:00"/>
    <x v="1"/>
    <x v="0"/>
    <x v="8"/>
    <s v="Blue Sky Retail"/>
    <n v="7"/>
    <n v="12.15"/>
    <n v="85.05"/>
    <n v="27.57"/>
    <n v="57.48"/>
    <x v="0"/>
    <x v="8"/>
  </r>
  <r>
    <s v="ORD-0510"/>
    <d v="2026-03-17T00:00:00"/>
    <x v="0"/>
    <x v="0"/>
    <x v="0"/>
    <s v="Aarav Traders"/>
    <n v="6"/>
    <n v="21.54"/>
    <n v="129.24"/>
    <n v="53.85"/>
    <n v="75.39"/>
    <x v="1"/>
    <x v="9"/>
  </r>
  <r>
    <s v="ORD-0511"/>
    <d v="2025-12-03T00:00:00"/>
    <x v="1"/>
    <x v="0"/>
    <x v="0"/>
    <s v="Dawn Enterprises"/>
    <n v="9"/>
    <n v="24.12"/>
    <n v="217.08"/>
    <n v="90.57"/>
    <n v="126.51"/>
    <x v="0"/>
    <x v="0"/>
  </r>
  <r>
    <s v="ORD-0512"/>
    <d v="2025-10-16T00:00:00"/>
    <x v="2"/>
    <x v="2"/>
    <x v="3"/>
    <s v="Futura Works"/>
    <n v="2"/>
    <n v="399.26"/>
    <n v="798.52"/>
    <n v="474.13"/>
    <n v="324.39"/>
    <x v="0"/>
    <x v="6"/>
  </r>
  <r>
    <s v="ORD-0513"/>
    <d v="2025-07-28T00:00:00"/>
    <x v="2"/>
    <x v="0"/>
    <x v="1"/>
    <s v="Futura Works"/>
    <n v="5"/>
    <n v="47.31"/>
    <n v="236.55"/>
    <n v="112.53"/>
    <n v="124.02"/>
    <x v="0"/>
    <x v="8"/>
  </r>
  <r>
    <s v="ORD-0514"/>
    <d v="2026-04-30T00:00:00"/>
    <x v="3"/>
    <x v="1"/>
    <x v="2"/>
    <s v="Aarav Traders"/>
    <n v="4"/>
    <n v="51.74"/>
    <n v="206.96"/>
    <n v="87.29"/>
    <n v="119.67"/>
    <x v="1"/>
    <x v="3"/>
  </r>
  <r>
    <s v="ORD-0515"/>
    <d v="2025-09-23T00:00:00"/>
    <x v="0"/>
    <x v="1"/>
    <x v="6"/>
    <s v="Blue Sky Retail"/>
    <n v="1"/>
    <n v="873.08"/>
    <n v="873.08"/>
    <n v="695.47"/>
    <n v="177.61"/>
    <x v="0"/>
    <x v="11"/>
  </r>
  <r>
    <s v="ORD-0516"/>
    <d v="2025-09-20T00:00:00"/>
    <x v="1"/>
    <x v="2"/>
    <x v="5"/>
    <s v="Crescent Stores"/>
    <n v="2"/>
    <n v="568.70000000000005"/>
    <n v="1137.4000000000001"/>
    <n v="690.71"/>
    <n v="446.69"/>
    <x v="0"/>
    <x v="11"/>
  </r>
  <r>
    <s v="ORD-0517"/>
    <d v="2026-02-07T00:00:00"/>
    <x v="0"/>
    <x v="2"/>
    <x v="7"/>
    <s v="Evergreen Mart"/>
    <n v="4"/>
    <n v="169.87"/>
    <n v="679.48"/>
    <n v="379.01"/>
    <n v="300.47000000000003"/>
    <x v="1"/>
    <x v="10"/>
  </r>
  <r>
    <s v="ORD-0518"/>
    <d v="2025-07-19T00:00:00"/>
    <x v="1"/>
    <x v="2"/>
    <x v="5"/>
    <s v="Greenfield Co."/>
    <n v="2"/>
    <n v="560.36"/>
    <n v="1120.72"/>
    <n v="728.8"/>
    <n v="391.92"/>
    <x v="0"/>
    <x v="8"/>
  </r>
  <r>
    <s v="ORD-0519"/>
    <d v="2025-04-28T00:00:00"/>
    <x v="0"/>
    <x v="1"/>
    <x v="11"/>
    <s v="Evergreen Mart"/>
    <n v="1"/>
    <n v="313.83"/>
    <n v="313.83"/>
    <n v="226.67"/>
    <n v="87.16"/>
    <x v="0"/>
    <x v="3"/>
  </r>
  <r>
    <s v="ORD-0520"/>
    <d v="2025-12-26T00:00:00"/>
    <x v="0"/>
    <x v="0"/>
    <x v="1"/>
    <s v="Evergreen Mart"/>
    <n v="7"/>
    <n v="39.380000000000003"/>
    <n v="275.66000000000003"/>
    <n v="122.07"/>
    <n v="153.59"/>
    <x v="0"/>
    <x v="0"/>
  </r>
  <r>
    <s v="ORD-0521"/>
    <d v="2025-12-30T00:00:00"/>
    <x v="1"/>
    <x v="1"/>
    <x v="11"/>
    <s v="Blue Sky Retail"/>
    <n v="1"/>
    <n v="311.18"/>
    <n v="311.18"/>
    <n v="228.11"/>
    <n v="83.07"/>
    <x v="0"/>
    <x v="0"/>
  </r>
  <r>
    <s v="ORD-0522"/>
    <d v="2025-04-05T00:00:00"/>
    <x v="2"/>
    <x v="1"/>
    <x v="11"/>
    <s v="Crescent Stores"/>
    <n v="3"/>
    <n v="311.38"/>
    <n v="934.14"/>
    <n v="656.47"/>
    <n v="277.67"/>
    <x v="0"/>
    <x v="3"/>
  </r>
  <r>
    <s v="ORD-0523"/>
    <d v="2026-03-13T00:00:00"/>
    <x v="2"/>
    <x v="1"/>
    <x v="4"/>
    <s v="Dawn Enterprises"/>
    <n v="1"/>
    <n v="217.68"/>
    <n v="217.68"/>
    <n v="134.16"/>
    <n v="83.52"/>
    <x v="1"/>
    <x v="9"/>
  </r>
  <r>
    <s v="ORD-0524"/>
    <d v="2026-04-09T00:00:00"/>
    <x v="1"/>
    <x v="0"/>
    <x v="8"/>
    <s v="Greenfield Co."/>
    <n v="12"/>
    <n v="12.74"/>
    <n v="152.88"/>
    <n v="60.71"/>
    <n v="92.17"/>
    <x v="1"/>
    <x v="3"/>
  </r>
  <r>
    <s v="ORD-0525"/>
    <d v="2025-02-21T00:00:00"/>
    <x v="0"/>
    <x v="0"/>
    <x v="8"/>
    <s v="Futura Works"/>
    <n v="8"/>
    <n v="11.23"/>
    <n v="89.84"/>
    <n v="31.91"/>
    <n v="57.93"/>
    <x v="0"/>
    <x v="10"/>
  </r>
  <r>
    <s v="ORD-0526"/>
    <d v="2026-02-04T00:00:00"/>
    <x v="3"/>
    <x v="0"/>
    <x v="1"/>
    <s v="Futura Works"/>
    <n v="7"/>
    <n v="50.13"/>
    <n v="350.91"/>
    <n v="150.97999999999999"/>
    <n v="199.93"/>
    <x v="1"/>
    <x v="10"/>
  </r>
  <r>
    <s v="ORD-0527"/>
    <d v="2025-11-08T00:00:00"/>
    <x v="3"/>
    <x v="0"/>
    <x v="1"/>
    <s v="Harbor Sales"/>
    <n v="3"/>
    <n v="44.75"/>
    <n v="134.25"/>
    <n v="59.92"/>
    <n v="74.33"/>
    <x v="0"/>
    <x v="2"/>
  </r>
  <r>
    <s v="ORD-0528"/>
    <d v="2025-02-16T00:00:00"/>
    <x v="3"/>
    <x v="0"/>
    <x v="10"/>
    <s v="Dawn Enterprises"/>
    <n v="10"/>
    <n v="15.72"/>
    <n v="157.19999999999999"/>
    <n v="55.89"/>
    <n v="101.31"/>
    <x v="0"/>
    <x v="10"/>
  </r>
  <r>
    <s v="ORD-0529"/>
    <d v="2025-11-21T00:00:00"/>
    <x v="1"/>
    <x v="2"/>
    <x v="3"/>
    <s v="Blue Sky Retail"/>
    <n v="5"/>
    <n v="470.56"/>
    <n v="2352.8000000000002"/>
    <n v="1522.7"/>
    <n v="830.1"/>
    <x v="0"/>
    <x v="2"/>
  </r>
  <r>
    <s v="ORD-0530"/>
    <d v="2025-02-08T00:00:00"/>
    <x v="0"/>
    <x v="2"/>
    <x v="3"/>
    <s v="Dawn Enterprises"/>
    <n v="2"/>
    <n v="365.46"/>
    <n v="730.92"/>
    <n v="477.34"/>
    <n v="253.58"/>
    <x v="0"/>
    <x v="10"/>
  </r>
  <r>
    <s v="ORD-0531"/>
    <d v="2026-06-12T00:00:00"/>
    <x v="1"/>
    <x v="1"/>
    <x v="6"/>
    <s v="Crescent Stores"/>
    <n v="2"/>
    <n v="1077.08"/>
    <n v="2154.16"/>
    <n v="1656.07"/>
    <n v="498.09"/>
    <x v="1"/>
    <x v="5"/>
  </r>
  <r>
    <s v="ORD-0532"/>
    <d v="2025-02-03T00:00:00"/>
    <x v="1"/>
    <x v="1"/>
    <x v="2"/>
    <s v="Futura Works"/>
    <n v="2"/>
    <n v="48.62"/>
    <n v="97.24"/>
    <n v="43.18"/>
    <n v="54.06"/>
    <x v="0"/>
    <x v="10"/>
  </r>
  <r>
    <s v="ORD-0533"/>
    <d v="2026-05-05T00:00:00"/>
    <x v="1"/>
    <x v="0"/>
    <x v="10"/>
    <s v="Crescent Stores"/>
    <n v="2"/>
    <n v="17.850000000000001"/>
    <n v="35.700000000000003"/>
    <n v="13"/>
    <n v="22.7"/>
    <x v="1"/>
    <x v="4"/>
  </r>
  <r>
    <s v="ORD-0534"/>
    <d v="2026-08-11T00:00:00"/>
    <x v="0"/>
    <x v="0"/>
    <x v="8"/>
    <s v="Crescent Stores"/>
    <n v="3"/>
    <n v="12.99"/>
    <n v="38.97"/>
    <n v="14.77"/>
    <n v="24.2"/>
    <x v="1"/>
    <x v="7"/>
  </r>
  <r>
    <s v="ORD-0535"/>
    <d v="2026-02-18T00:00:00"/>
    <x v="1"/>
    <x v="2"/>
    <x v="3"/>
    <s v="Dawn Enterprises"/>
    <n v="5"/>
    <n v="408.71"/>
    <n v="2043.55"/>
    <n v="1243.4000000000001"/>
    <n v="800.15"/>
    <x v="1"/>
    <x v="10"/>
  </r>
  <r>
    <s v="ORD-0536"/>
    <d v="2026-07-13T00:00:00"/>
    <x v="0"/>
    <x v="1"/>
    <x v="6"/>
    <s v="Dawn Enterprises"/>
    <n v="3"/>
    <n v="893.59"/>
    <n v="2680.77"/>
    <n v="2144.42"/>
    <n v="536.35"/>
    <x v="1"/>
    <x v="8"/>
  </r>
  <r>
    <s v="ORD-0537"/>
    <d v="2025-05-18T00:00:00"/>
    <x v="3"/>
    <x v="0"/>
    <x v="8"/>
    <s v="Blue Sky Retail"/>
    <n v="8"/>
    <n v="11.15"/>
    <n v="89.2"/>
    <n v="32.049999999999997"/>
    <n v="57.15"/>
    <x v="0"/>
    <x v="4"/>
  </r>
  <r>
    <s v="ORD-0538"/>
    <d v="2025-04-09T00:00:00"/>
    <x v="2"/>
    <x v="0"/>
    <x v="10"/>
    <s v="Harbor Sales"/>
    <n v="9"/>
    <n v="15.67"/>
    <n v="141.03"/>
    <n v="58.59"/>
    <n v="82.44"/>
    <x v="0"/>
    <x v="3"/>
  </r>
  <r>
    <s v="ORD-0539"/>
    <d v="2026-08-29T00:00:00"/>
    <x v="0"/>
    <x v="2"/>
    <x v="7"/>
    <s v="Futura Works"/>
    <n v="2"/>
    <n v="163.07"/>
    <n v="326.14"/>
    <n v="183.66"/>
    <n v="142.47999999999999"/>
    <x v="1"/>
    <x v="7"/>
  </r>
  <r>
    <s v="ORD-0540"/>
    <d v="2026-06-05T00:00:00"/>
    <x v="3"/>
    <x v="0"/>
    <x v="1"/>
    <s v="Dawn Enterprises"/>
    <n v="10"/>
    <n v="40.43"/>
    <n v="404.3"/>
    <n v="180.24"/>
    <n v="224.06"/>
    <x v="1"/>
    <x v="5"/>
  </r>
  <r>
    <s v="ORD-0541"/>
    <d v="2026-04-12T00:00:00"/>
    <x v="3"/>
    <x v="2"/>
    <x v="9"/>
    <s v="Dawn Enterprises"/>
    <n v="2"/>
    <n v="262.45999999999998"/>
    <n v="524.91999999999996"/>
    <n v="326.42"/>
    <n v="198.5"/>
    <x v="1"/>
    <x v="3"/>
  </r>
  <r>
    <s v="ORD-0542"/>
    <d v="2025-04-15T00:00:00"/>
    <x v="3"/>
    <x v="1"/>
    <x v="2"/>
    <s v="Crescent Stores"/>
    <n v="3"/>
    <n v="61.25"/>
    <n v="183.75"/>
    <n v="78.66"/>
    <n v="105.09"/>
    <x v="0"/>
    <x v="3"/>
  </r>
  <r>
    <s v="ORD-0543"/>
    <d v="2025-11-17T00:00:00"/>
    <x v="0"/>
    <x v="1"/>
    <x v="6"/>
    <s v="Crescent Stores"/>
    <n v="5"/>
    <n v="1063.47"/>
    <n v="5317.35"/>
    <n v="4051.77"/>
    <n v="1265.58"/>
    <x v="0"/>
    <x v="2"/>
  </r>
  <r>
    <s v="ORD-0544"/>
    <d v="2025-06-07T00:00:00"/>
    <x v="2"/>
    <x v="0"/>
    <x v="0"/>
    <s v="Greenfield Co."/>
    <n v="12"/>
    <n v="24.88"/>
    <n v="298.56"/>
    <n v="122.36"/>
    <n v="176.2"/>
    <x v="0"/>
    <x v="5"/>
  </r>
  <r>
    <s v="ORD-0545"/>
    <d v="2026-06-09T00:00:00"/>
    <x v="1"/>
    <x v="0"/>
    <x v="1"/>
    <s v="Aarav Traders"/>
    <n v="12"/>
    <n v="43.18"/>
    <n v="518.16"/>
    <n v="256.75"/>
    <n v="261.41000000000003"/>
    <x v="1"/>
    <x v="5"/>
  </r>
  <r>
    <s v="ORD-0546"/>
    <d v="2025-01-28T00:00:00"/>
    <x v="2"/>
    <x v="2"/>
    <x v="9"/>
    <s v="Blue Sky Retail"/>
    <n v="4"/>
    <n v="268.85000000000002"/>
    <n v="1075.4000000000001"/>
    <n v="636.20000000000005"/>
    <n v="439.2"/>
    <x v="0"/>
    <x v="1"/>
  </r>
  <r>
    <s v="ORD-0547"/>
    <d v="2026-03-19T00:00:00"/>
    <x v="0"/>
    <x v="2"/>
    <x v="9"/>
    <s v="Dawn Enterprises"/>
    <n v="5"/>
    <n v="298.58"/>
    <n v="1492.9"/>
    <n v="830.93"/>
    <n v="661.97"/>
    <x v="1"/>
    <x v="9"/>
  </r>
  <r>
    <s v="ORD-0548"/>
    <d v="2025-03-21T00:00:00"/>
    <x v="2"/>
    <x v="0"/>
    <x v="10"/>
    <s v="Harbor Sales"/>
    <n v="4"/>
    <n v="17.89"/>
    <n v="71.56"/>
    <n v="29.11"/>
    <n v="42.45"/>
    <x v="0"/>
    <x v="9"/>
  </r>
  <r>
    <s v="ORD-0549"/>
    <d v="2025-11-03T00:00:00"/>
    <x v="0"/>
    <x v="2"/>
    <x v="3"/>
    <s v="Evergreen Mart"/>
    <n v="1"/>
    <n v="444.5"/>
    <n v="444.5"/>
    <n v="269.73"/>
    <n v="174.77"/>
    <x v="0"/>
    <x v="2"/>
  </r>
  <r>
    <s v="ORD-0550"/>
    <d v="2025-07-17T00:00:00"/>
    <x v="1"/>
    <x v="2"/>
    <x v="5"/>
    <s v="Evergreen Mart"/>
    <n v="2"/>
    <n v="485.9"/>
    <n v="971.8"/>
    <n v="655.33000000000004"/>
    <n v="316.47000000000003"/>
    <x v="0"/>
    <x v="8"/>
  </r>
  <r>
    <s v="ORD-0551"/>
    <d v="2025-05-04T00:00:00"/>
    <x v="3"/>
    <x v="2"/>
    <x v="7"/>
    <s v="Greenfield Co."/>
    <n v="1"/>
    <n v="156.22"/>
    <n v="156.22"/>
    <n v="87.99"/>
    <n v="68.23"/>
    <x v="0"/>
    <x v="4"/>
  </r>
  <r>
    <s v="ORD-0552"/>
    <d v="2025-04-22T00:00:00"/>
    <x v="3"/>
    <x v="0"/>
    <x v="0"/>
    <s v="Crescent Stores"/>
    <n v="10"/>
    <n v="22.88"/>
    <n v="228.8"/>
    <n v="103.59"/>
    <n v="125.21"/>
    <x v="0"/>
    <x v="3"/>
  </r>
  <r>
    <s v="ORD-0553"/>
    <d v="2025-11-21T00:00:00"/>
    <x v="1"/>
    <x v="2"/>
    <x v="5"/>
    <s v="Greenfield Co."/>
    <n v="3"/>
    <n v="469.32"/>
    <n v="1407.96"/>
    <n v="916.94"/>
    <n v="491.02"/>
    <x v="0"/>
    <x v="2"/>
  </r>
  <r>
    <s v="ORD-0554"/>
    <d v="2025-06-06T00:00:00"/>
    <x v="0"/>
    <x v="1"/>
    <x v="6"/>
    <s v="Crescent Stores"/>
    <n v="2"/>
    <n v="882.19"/>
    <n v="1764.38"/>
    <n v="1273.51"/>
    <n v="490.87"/>
    <x v="0"/>
    <x v="5"/>
  </r>
  <r>
    <s v="ORD-0555"/>
    <d v="2025-11-05T00:00:00"/>
    <x v="3"/>
    <x v="2"/>
    <x v="3"/>
    <s v="Greenfield Co."/>
    <n v="5"/>
    <n v="443.14"/>
    <n v="2215.6999999999998"/>
    <n v="1341.32"/>
    <n v="874.38"/>
    <x v="0"/>
    <x v="2"/>
  </r>
  <r>
    <s v="ORD-0556"/>
    <d v="2025-07-20T00:00:00"/>
    <x v="0"/>
    <x v="0"/>
    <x v="1"/>
    <s v="Blue Sky Retail"/>
    <n v="8"/>
    <n v="42.89"/>
    <n v="343.12"/>
    <n v="146.96"/>
    <n v="196.16"/>
    <x v="0"/>
    <x v="8"/>
  </r>
  <r>
    <s v="ORD-0557"/>
    <d v="2025-07-25T00:00:00"/>
    <x v="3"/>
    <x v="0"/>
    <x v="8"/>
    <s v="Greenfield Co."/>
    <n v="5"/>
    <n v="12.02"/>
    <n v="60.1"/>
    <n v="23.23"/>
    <n v="36.869999999999997"/>
    <x v="0"/>
    <x v="8"/>
  </r>
  <r>
    <s v="ORD-0558"/>
    <d v="2026-01-21T00:00:00"/>
    <x v="3"/>
    <x v="0"/>
    <x v="8"/>
    <s v="Crescent Stores"/>
    <n v="2"/>
    <n v="13.1"/>
    <n v="26.2"/>
    <n v="8.9700000000000006"/>
    <n v="17.23"/>
    <x v="1"/>
    <x v="1"/>
  </r>
  <r>
    <s v="ORD-0559"/>
    <d v="2026-01-18T00:00:00"/>
    <x v="0"/>
    <x v="1"/>
    <x v="11"/>
    <s v="Evergreen Mart"/>
    <n v="3"/>
    <n v="335.14"/>
    <n v="1005.42"/>
    <n v="708.72"/>
    <n v="296.7"/>
    <x v="1"/>
    <x v="1"/>
  </r>
  <r>
    <s v="ORD-0560"/>
    <d v="2025-12-17T00:00:00"/>
    <x v="1"/>
    <x v="1"/>
    <x v="6"/>
    <s v="Harbor Sales"/>
    <n v="5"/>
    <n v="958.23"/>
    <n v="4791.1499999999996"/>
    <n v="3702.5"/>
    <n v="1088.6500000000001"/>
    <x v="0"/>
    <x v="0"/>
  </r>
  <r>
    <s v="ORD-0561"/>
    <d v="2025-07-17T00:00:00"/>
    <x v="0"/>
    <x v="1"/>
    <x v="4"/>
    <s v="Blue Sky Retail"/>
    <n v="2"/>
    <n v="208.73"/>
    <n v="417.46"/>
    <n v="280.33999999999997"/>
    <n v="137.12"/>
    <x v="0"/>
    <x v="8"/>
  </r>
  <r>
    <s v="ORD-0562"/>
    <d v="2026-06-01T00:00:00"/>
    <x v="2"/>
    <x v="0"/>
    <x v="8"/>
    <s v="Blue Sky Retail"/>
    <n v="6"/>
    <n v="12.04"/>
    <n v="72.239999999999995"/>
    <n v="24.47"/>
    <n v="47.77"/>
    <x v="1"/>
    <x v="5"/>
  </r>
  <r>
    <s v="ORD-0563"/>
    <d v="2026-03-06T00:00:00"/>
    <x v="3"/>
    <x v="0"/>
    <x v="10"/>
    <s v="Greenfield Co."/>
    <n v="2"/>
    <n v="18.649999999999999"/>
    <n v="37.299999999999997"/>
    <n v="15.7"/>
    <n v="21.6"/>
    <x v="1"/>
    <x v="9"/>
  </r>
  <r>
    <s v="ORD-0564"/>
    <d v="2025-11-22T00:00:00"/>
    <x v="0"/>
    <x v="2"/>
    <x v="9"/>
    <s v="Aarav Traders"/>
    <n v="4"/>
    <n v="262.04000000000002"/>
    <n v="1048.1600000000001"/>
    <n v="591.48"/>
    <n v="456.68"/>
    <x v="0"/>
    <x v="2"/>
  </r>
  <r>
    <s v="ORD-0565"/>
    <d v="2026-06-21T00:00:00"/>
    <x v="0"/>
    <x v="0"/>
    <x v="0"/>
    <s v="Harbor Sales"/>
    <n v="1"/>
    <n v="21.7"/>
    <n v="21.7"/>
    <n v="9.98"/>
    <n v="11.72"/>
    <x v="1"/>
    <x v="5"/>
  </r>
  <r>
    <s v="ORD-0566"/>
    <d v="2025-02-05T00:00:00"/>
    <x v="1"/>
    <x v="0"/>
    <x v="10"/>
    <s v="Crescent Stores"/>
    <n v="5"/>
    <n v="19.87"/>
    <n v="99.35"/>
    <n v="39.76"/>
    <n v="59.59"/>
    <x v="0"/>
    <x v="10"/>
  </r>
  <r>
    <s v="ORD-0567"/>
    <d v="2026-04-14T00:00:00"/>
    <x v="1"/>
    <x v="0"/>
    <x v="10"/>
    <s v="Blue Sky Retail"/>
    <n v="1"/>
    <n v="19.64"/>
    <n v="19.64"/>
    <n v="7.56"/>
    <n v="12.08"/>
    <x v="1"/>
    <x v="3"/>
  </r>
  <r>
    <s v="ORD-0568"/>
    <d v="2025-01-30T00:00:00"/>
    <x v="2"/>
    <x v="1"/>
    <x v="6"/>
    <s v="Aarav Traders"/>
    <n v="3"/>
    <n v="915.23"/>
    <n v="2745.69"/>
    <n v="2028.35"/>
    <n v="717.34"/>
    <x v="0"/>
    <x v="1"/>
  </r>
  <r>
    <s v="ORD-0569"/>
    <d v="2026-03-22T00:00:00"/>
    <x v="1"/>
    <x v="2"/>
    <x v="5"/>
    <s v="Crescent Stores"/>
    <n v="1"/>
    <n v="444.98"/>
    <n v="444.98"/>
    <n v="282.83999999999997"/>
    <n v="162.13999999999999"/>
    <x v="1"/>
    <x v="9"/>
  </r>
  <r>
    <s v="ORD-0570"/>
    <d v="2025-11-07T00:00:00"/>
    <x v="3"/>
    <x v="0"/>
    <x v="0"/>
    <s v="Harbor Sales"/>
    <n v="12"/>
    <n v="27.48"/>
    <n v="329.76"/>
    <n v="130.87"/>
    <n v="198.89"/>
    <x v="0"/>
    <x v="2"/>
  </r>
  <r>
    <s v="ORD-0571"/>
    <d v="2025-12-09T00:00:00"/>
    <x v="1"/>
    <x v="0"/>
    <x v="8"/>
    <s v="Harbor Sales"/>
    <n v="12"/>
    <n v="10.8"/>
    <n v="129.6"/>
    <n v="49.36"/>
    <n v="80.239999999999995"/>
    <x v="0"/>
    <x v="0"/>
  </r>
  <r>
    <s v="ORD-0572"/>
    <d v="2026-02-05T00:00:00"/>
    <x v="1"/>
    <x v="1"/>
    <x v="4"/>
    <s v="Crescent Stores"/>
    <n v="4"/>
    <n v="208.81"/>
    <n v="835.24"/>
    <n v="544.32000000000005"/>
    <n v="290.92"/>
    <x v="1"/>
    <x v="10"/>
  </r>
  <r>
    <s v="ORD-0573"/>
    <d v="2026-06-06T00:00:00"/>
    <x v="0"/>
    <x v="2"/>
    <x v="7"/>
    <s v="Crescent Stores"/>
    <n v="2"/>
    <n v="203.32"/>
    <n v="406.64"/>
    <n v="241.38"/>
    <n v="165.26"/>
    <x v="1"/>
    <x v="5"/>
  </r>
  <r>
    <s v="ORD-0574"/>
    <d v="2025-10-09T00:00:00"/>
    <x v="0"/>
    <x v="2"/>
    <x v="5"/>
    <s v="Aarav Traders"/>
    <n v="2"/>
    <n v="547.77"/>
    <n v="1095.54"/>
    <n v="659.85"/>
    <n v="435.69"/>
    <x v="0"/>
    <x v="6"/>
  </r>
  <r>
    <s v="ORD-0575"/>
    <d v="2026-03-17T00:00:00"/>
    <x v="2"/>
    <x v="1"/>
    <x v="11"/>
    <s v="Aarav Traders"/>
    <n v="5"/>
    <n v="350.58"/>
    <n v="1752.9"/>
    <n v="1296.49"/>
    <n v="456.41"/>
    <x v="1"/>
    <x v="9"/>
  </r>
  <r>
    <s v="ORD-0576"/>
    <d v="2026-07-07T00:00:00"/>
    <x v="3"/>
    <x v="0"/>
    <x v="10"/>
    <s v="Dawn Enterprises"/>
    <n v="6"/>
    <n v="16.46"/>
    <n v="98.76"/>
    <n v="37.229999999999997"/>
    <n v="61.53"/>
    <x v="1"/>
    <x v="8"/>
  </r>
  <r>
    <s v="ORD-0577"/>
    <d v="2025-08-30T00:00:00"/>
    <x v="3"/>
    <x v="1"/>
    <x v="2"/>
    <s v="Aarav Traders"/>
    <n v="5"/>
    <n v="53.85"/>
    <n v="269.25"/>
    <n v="117.62"/>
    <n v="151.63"/>
    <x v="0"/>
    <x v="7"/>
  </r>
  <r>
    <s v="ORD-0578"/>
    <d v="2025-05-29T00:00:00"/>
    <x v="1"/>
    <x v="2"/>
    <x v="7"/>
    <s v="Crescent Stores"/>
    <n v="2"/>
    <n v="167.61"/>
    <n v="335.22"/>
    <n v="179.94"/>
    <n v="155.28"/>
    <x v="0"/>
    <x v="4"/>
  </r>
  <r>
    <s v="ORD-0579"/>
    <d v="2026-07-07T00:00:00"/>
    <x v="3"/>
    <x v="2"/>
    <x v="3"/>
    <s v="Crescent Stores"/>
    <n v="5"/>
    <n v="436.45"/>
    <n v="2182.25"/>
    <n v="1277.1199999999999"/>
    <n v="905.13"/>
    <x v="1"/>
    <x v="8"/>
  </r>
  <r>
    <s v="ORD-0580"/>
    <d v="2026-03-05T00:00:00"/>
    <x v="2"/>
    <x v="0"/>
    <x v="8"/>
    <s v="Greenfield Co."/>
    <n v="4"/>
    <n v="12.37"/>
    <n v="49.48"/>
    <n v="18.100000000000001"/>
    <n v="31.38"/>
    <x v="1"/>
    <x v="9"/>
  </r>
  <r>
    <s v="ORD-0581"/>
    <d v="2025-05-19T00:00:00"/>
    <x v="3"/>
    <x v="1"/>
    <x v="11"/>
    <s v="Blue Sky Retail"/>
    <n v="4"/>
    <n v="350.98"/>
    <n v="1403.92"/>
    <n v="1061.83"/>
    <n v="342.09"/>
    <x v="0"/>
    <x v="4"/>
  </r>
  <r>
    <s v="ORD-0582"/>
    <d v="2025-07-26T00:00:00"/>
    <x v="3"/>
    <x v="0"/>
    <x v="1"/>
    <s v="Blue Sky Retail"/>
    <n v="12"/>
    <n v="48.83"/>
    <n v="585.96"/>
    <n v="272.63"/>
    <n v="313.33"/>
    <x v="0"/>
    <x v="8"/>
  </r>
  <r>
    <s v="ORD-0583"/>
    <d v="2026-01-05T00:00:00"/>
    <x v="3"/>
    <x v="2"/>
    <x v="9"/>
    <s v="Crescent Stores"/>
    <n v="5"/>
    <n v="247.71"/>
    <n v="1238.55"/>
    <n v="771.59"/>
    <n v="466.96"/>
    <x v="1"/>
    <x v="1"/>
  </r>
  <r>
    <s v="ORD-0584"/>
    <d v="2025-05-15T00:00:00"/>
    <x v="2"/>
    <x v="0"/>
    <x v="10"/>
    <s v="Harbor Sales"/>
    <n v="11"/>
    <n v="17.8"/>
    <n v="195.8"/>
    <n v="78.23"/>
    <n v="117.57"/>
    <x v="0"/>
    <x v="4"/>
  </r>
  <r>
    <s v="ORD-0585"/>
    <d v="2025-03-15T00:00:00"/>
    <x v="0"/>
    <x v="0"/>
    <x v="0"/>
    <s v="Greenfield Co."/>
    <n v="5"/>
    <n v="27.95"/>
    <n v="139.75"/>
    <n v="59.74"/>
    <n v="80.010000000000005"/>
    <x v="0"/>
    <x v="9"/>
  </r>
  <r>
    <s v="ORD-0586"/>
    <d v="2026-01-14T00:00:00"/>
    <x v="1"/>
    <x v="1"/>
    <x v="6"/>
    <s v="Blue Sky Retail"/>
    <n v="2"/>
    <n v="927.43"/>
    <n v="1854.86"/>
    <n v="1417.39"/>
    <n v="437.47"/>
    <x v="1"/>
    <x v="1"/>
  </r>
  <r>
    <s v="ORD-0587"/>
    <d v="2026-03-23T00:00:00"/>
    <x v="3"/>
    <x v="2"/>
    <x v="5"/>
    <s v="Dawn Enterprises"/>
    <n v="5"/>
    <n v="490.55"/>
    <n v="2452.75"/>
    <n v="1661.7"/>
    <n v="791.05"/>
    <x v="1"/>
    <x v="9"/>
  </r>
  <r>
    <s v="ORD-0588"/>
    <d v="2025-03-02T00:00:00"/>
    <x v="3"/>
    <x v="0"/>
    <x v="1"/>
    <s v="Futura Works"/>
    <n v="7"/>
    <n v="40.98"/>
    <n v="286.86"/>
    <n v="140.84"/>
    <n v="146.02000000000001"/>
    <x v="0"/>
    <x v="9"/>
  </r>
  <r>
    <s v="ORD-0589"/>
    <d v="2026-01-25T00:00:00"/>
    <x v="2"/>
    <x v="1"/>
    <x v="6"/>
    <s v="Futura Works"/>
    <n v="4"/>
    <n v="922.69"/>
    <n v="3690.76"/>
    <n v="2673.31"/>
    <n v="1017.45"/>
    <x v="1"/>
    <x v="1"/>
  </r>
  <r>
    <s v="ORD-0590"/>
    <d v="2025-02-15T00:00:00"/>
    <x v="0"/>
    <x v="1"/>
    <x v="2"/>
    <s v="Harbor Sales"/>
    <n v="1"/>
    <n v="55.21"/>
    <n v="55.21"/>
    <n v="23.74"/>
    <n v="31.47"/>
    <x v="0"/>
    <x v="10"/>
  </r>
  <r>
    <s v="ORD-0591"/>
    <d v="2025-06-17T00:00:00"/>
    <x v="0"/>
    <x v="1"/>
    <x v="2"/>
    <s v="Greenfield Co."/>
    <n v="5"/>
    <n v="61.8"/>
    <n v="309"/>
    <n v="126.55"/>
    <n v="182.45"/>
    <x v="0"/>
    <x v="5"/>
  </r>
  <r>
    <s v="ORD-0592"/>
    <d v="2026-07-03T00:00:00"/>
    <x v="1"/>
    <x v="2"/>
    <x v="5"/>
    <s v="Dawn Enterprises"/>
    <n v="4"/>
    <n v="512.9"/>
    <n v="2051.6"/>
    <n v="1368.12"/>
    <n v="683.48"/>
    <x v="1"/>
    <x v="8"/>
  </r>
  <r>
    <s v="ORD-0593"/>
    <d v="2025-05-25T00:00:00"/>
    <x v="1"/>
    <x v="0"/>
    <x v="10"/>
    <s v="Evergreen Mart"/>
    <n v="9"/>
    <n v="18.579999999999998"/>
    <n v="167.22"/>
    <n v="65"/>
    <n v="102.22"/>
    <x v="0"/>
    <x v="4"/>
  </r>
  <r>
    <s v="ORD-0594"/>
    <d v="2025-12-31T00:00:00"/>
    <x v="1"/>
    <x v="2"/>
    <x v="7"/>
    <s v="Futura Works"/>
    <n v="2"/>
    <n v="169.19"/>
    <n v="338.38"/>
    <n v="184.14"/>
    <n v="154.24"/>
    <x v="0"/>
    <x v="0"/>
  </r>
  <r>
    <s v="ORD-0595"/>
    <d v="2025-11-28T00:00:00"/>
    <x v="2"/>
    <x v="2"/>
    <x v="3"/>
    <s v="Blue Sky Retail"/>
    <n v="5"/>
    <n v="454.85"/>
    <n v="2274.25"/>
    <n v="1434.17"/>
    <n v="840.08"/>
    <x v="0"/>
    <x v="2"/>
  </r>
  <r>
    <s v="ORD-0596"/>
    <d v="2025-02-17T00:00:00"/>
    <x v="2"/>
    <x v="0"/>
    <x v="0"/>
    <s v="Evergreen Mart"/>
    <n v="1"/>
    <n v="25.29"/>
    <n v="25.29"/>
    <n v="11.02"/>
    <n v="14.27"/>
    <x v="0"/>
    <x v="10"/>
  </r>
  <r>
    <s v="ORD-0597"/>
    <d v="2025-04-20T00:00:00"/>
    <x v="0"/>
    <x v="0"/>
    <x v="8"/>
    <s v="Aarav Traders"/>
    <n v="10"/>
    <n v="12.56"/>
    <n v="125.6"/>
    <n v="47.05"/>
    <n v="78.55"/>
    <x v="0"/>
    <x v="3"/>
  </r>
  <r>
    <s v="ORD-0598"/>
    <d v="2026-05-06T00:00:00"/>
    <x v="0"/>
    <x v="0"/>
    <x v="1"/>
    <s v="Greenfield Co."/>
    <n v="4"/>
    <n v="50.56"/>
    <n v="202.24"/>
    <n v="92.64"/>
    <n v="109.6"/>
    <x v="1"/>
    <x v="4"/>
  </r>
  <r>
    <s v="ORD-0599"/>
    <d v="2026-05-26T00:00:00"/>
    <x v="3"/>
    <x v="1"/>
    <x v="2"/>
    <s v="Dawn Enterprises"/>
    <n v="3"/>
    <n v="48.32"/>
    <n v="144.96"/>
    <n v="67.19"/>
    <n v="77.77"/>
    <x v="1"/>
    <x v="4"/>
  </r>
  <r>
    <s v="ORD-0600"/>
    <d v="2026-07-01T00:00:00"/>
    <x v="2"/>
    <x v="2"/>
    <x v="9"/>
    <s v="Aarav Traders"/>
    <n v="4"/>
    <n v="251.43"/>
    <n v="1005.72"/>
    <n v="579.23"/>
    <n v="426.49"/>
    <x v="1"/>
    <x v="8"/>
  </r>
  <r>
    <s v="ORD-0601"/>
    <d v="2025-06-08T00:00:00"/>
    <x v="0"/>
    <x v="1"/>
    <x v="11"/>
    <s v="Evergreen Mart"/>
    <n v="4"/>
    <n v="290.57"/>
    <n v="1162.28"/>
    <n v="796.32"/>
    <n v="365.96"/>
    <x v="0"/>
    <x v="5"/>
  </r>
  <r>
    <s v="ORD-0602"/>
    <d v="2026-06-14T00:00:00"/>
    <x v="0"/>
    <x v="0"/>
    <x v="1"/>
    <s v="Aarav Traders"/>
    <n v="7"/>
    <n v="46.66"/>
    <n v="326.62"/>
    <n v="157"/>
    <n v="169.62"/>
    <x v="1"/>
    <x v="5"/>
  </r>
  <r>
    <s v="ORD-0603"/>
    <d v="2025-11-28T00:00:00"/>
    <x v="1"/>
    <x v="1"/>
    <x v="4"/>
    <s v="Evergreen Mart"/>
    <n v="1"/>
    <n v="200.83"/>
    <n v="200.83"/>
    <n v="126.17"/>
    <n v="74.66"/>
    <x v="0"/>
    <x v="2"/>
  </r>
  <r>
    <s v="ORD-0604"/>
    <d v="2025-03-22T00:00:00"/>
    <x v="2"/>
    <x v="0"/>
    <x v="10"/>
    <s v="Blue Sky Retail"/>
    <n v="12"/>
    <n v="17.53"/>
    <n v="210.36"/>
    <n v="87.11"/>
    <n v="123.25"/>
    <x v="0"/>
    <x v="9"/>
  </r>
  <r>
    <s v="ORD-0605"/>
    <d v="2025-09-27T00:00:00"/>
    <x v="1"/>
    <x v="1"/>
    <x v="4"/>
    <s v="Aarav Traders"/>
    <n v="5"/>
    <n v="239.1"/>
    <n v="1195.5"/>
    <n v="755.55"/>
    <n v="439.95"/>
    <x v="0"/>
    <x v="11"/>
  </r>
  <r>
    <s v="ORD-0606"/>
    <d v="2026-05-11T00:00:00"/>
    <x v="2"/>
    <x v="0"/>
    <x v="10"/>
    <s v="Futura Works"/>
    <n v="4"/>
    <n v="15.55"/>
    <n v="62.2"/>
    <n v="23.89"/>
    <n v="38.31"/>
    <x v="1"/>
    <x v="4"/>
  </r>
  <r>
    <s v="ORD-0607"/>
    <d v="2026-08-29T00:00:00"/>
    <x v="3"/>
    <x v="1"/>
    <x v="6"/>
    <s v="Dawn Enterprises"/>
    <n v="4"/>
    <n v="822.03"/>
    <n v="3288.12"/>
    <n v="2472.36"/>
    <n v="815.76"/>
    <x v="1"/>
    <x v="7"/>
  </r>
  <r>
    <s v="ORD-0608"/>
    <d v="2025-09-07T00:00:00"/>
    <x v="2"/>
    <x v="0"/>
    <x v="10"/>
    <s v="Futura Works"/>
    <n v="12"/>
    <n v="18.14"/>
    <n v="217.68"/>
    <n v="89.96"/>
    <n v="127.72"/>
    <x v="0"/>
    <x v="11"/>
  </r>
  <r>
    <s v="ORD-0609"/>
    <d v="2026-06-12T00:00:00"/>
    <x v="2"/>
    <x v="1"/>
    <x v="4"/>
    <s v="Dawn Enterprises"/>
    <n v="1"/>
    <n v="207.13"/>
    <n v="207.13"/>
    <n v="135.68"/>
    <n v="71.45"/>
    <x v="1"/>
    <x v="5"/>
  </r>
  <r>
    <s v="ORD-0610"/>
    <d v="2026-05-18T00:00:00"/>
    <x v="2"/>
    <x v="1"/>
    <x v="4"/>
    <s v="Dawn Enterprises"/>
    <n v="5"/>
    <n v="220.47"/>
    <n v="1102.3499999999999"/>
    <n v="738.96"/>
    <n v="363.39"/>
    <x v="1"/>
    <x v="4"/>
  </r>
  <r>
    <s v="ORD-0611"/>
    <d v="2026-01-14T00:00:00"/>
    <x v="3"/>
    <x v="2"/>
    <x v="7"/>
    <s v="Dawn Enterprises"/>
    <n v="1"/>
    <n v="172.22"/>
    <n v="172.22"/>
    <n v="89.68"/>
    <n v="82.54"/>
    <x v="1"/>
    <x v="1"/>
  </r>
  <r>
    <s v="ORD-0612"/>
    <d v="2025-11-20T00:00:00"/>
    <x v="1"/>
    <x v="2"/>
    <x v="9"/>
    <s v="Crescent Stores"/>
    <n v="4"/>
    <n v="314.86"/>
    <n v="1259.44"/>
    <n v="767.58"/>
    <n v="491.86"/>
    <x v="0"/>
    <x v="2"/>
  </r>
  <r>
    <s v="ORD-0613"/>
    <d v="2026-07-08T00:00:00"/>
    <x v="1"/>
    <x v="0"/>
    <x v="10"/>
    <s v="Futura Works"/>
    <n v="3"/>
    <n v="19.41"/>
    <n v="58.23"/>
    <n v="21.65"/>
    <n v="36.58"/>
    <x v="1"/>
    <x v="8"/>
  </r>
  <r>
    <s v="ORD-0614"/>
    <d v="2025-10-29T00:00:00"/>
    <x v="1"/>
    <x v="1"/>
    <x v="11"/>
    <s v="Dawn Enterprises"/>
    <n v="4"/>
    <n v="360.9"/>
    <n v="1443.6"/>
    <n v="1071.02"/>
    <n v="372.58"/>
    <x v="0"/>
    <x v="6"/>
  </r>
  <r>
    <s v="ORD-0615"/>
    <d v="2025-04-22T00:00:00"/>
    <x v="0"/>
    <x v="1"/>
    <x v="4"/>
    <s v="Harbor Sales"/>
    <n v="2"/>
    <n v="189.79"/>
    <n v="379.58"/>
    <n v="240.52"/>
    <n v="139.06"/>
    <x v="0"/>
    <x v="3"/>
  </r>
  <r>
    <s v="ORD-0616"/>
    <d v="2025-04-30T00:00:00"/>
    <x v="3"/>
    <x v="2"/>
    <x v="5"/>
    <s v="Evergreen Mart"/>
    <n v="1"/>
    <n v="439.82"/>
    <n v="439.82"/>
    <n v="278.32"/>
    <n v="161.5"/>
    <x v="0"/>
    <x v="3"/>
  </r>
  <r>
    <s v="ORD-0617"/>
    <d v="2025-04-19T00:00:00"/>
    <x v="0"/>
    <x v="2"/>
    <x v="7"/>
    <s v="Dawn Enterprises"/>
    <n v="5"/>
    <n v="202.34"/>
    <n v="1011.7"/>
    <n v="531.09"/>
    <n v="480.61"/>
    <x v="0"/>
    <x v="3"/>
  </r>
  <r>
    <s v="ORD-0618"/>
    <d v="2025-01-23T00:00:00"/>
    <x v="3"/>
    <x v="0"/>
    <x v="1"/>
    <s v="Futura Works"/>
    <n v="5"/>
    <n v="48.85"/>
    <n v="244.25"/>
    <n v="117.73"/>
    <n v="126.52"/>
    <x v="0"/>
    <x v="1"/>
  </r>
  <r>
    <s v="ORD-0619"/>
    <d v="2025-04-05T00:00:00"/>
    <x v="0"/>
    <x v="1"/>
    <x v="4"/>
    <s v="Harbor Sales"/>
    <n v="5"/>
    <n v="203.53"/>
    <n v="1017.65"/>
    <n v="657.57"/>
    <n v="360.08"/>
    <x v="0"/>
    <x v="3"/>
  </r>
  <r>
    <s v="ORD-0620"/>
    <d v="2026-06-27T00:00:00"/>
    <x v="3"/>
    <x v="2"/>
    <x v="7"/>
    <s v="Dawn Enterprises"/>
    <n v="3"/>
    <n v="176.66"/>
    <n v="529.98"/>
    <n v="289.77"/>
    <n v="240.21"/>
    <x v="1"/>
    <x v="5"/>
  </r>
  <r>
    <s v="ORD-0621"/>
    <d v="2026-01-31T00:00:00"/>
    <x v="1"/>
    <x v="2"/>
    <x v="9"/>
    <s v="Evergreen Mart"/>
    <n v="2"/>
    <n v="245.72"/>
    <n v="491.44"/>
    <n v="298.20999999999998"/>
    <n v="193.23"/>
    <x v="1"/>
    <x v="1"/>
  </r>
  <r>
    <s v="ORD-0622"/>
    <d v="2026-06-28T00:00:00"/>
    <x v="2"/>
    <x v="2"/>
    <x v="5"/>
    <s v="Greenfield Co."/>
    <n v="3"/>
    <n v="550.04"/>
    <n v="1650.12"/>
    <n v="1033.33"/>
    <n v="616.79"/>
    <x v="1"/>
    <x v="5"/>
  </r>
  <r>
    <s v="ORD-0623"/>
    <d v="2025-11-20T00:00:00"/>
    <x v="1"/>
    <x v="0"/>
    <x v="0"/>
    <s v="Evergreen Mart"/>
    <n v="5"/>
    <n v="27.54"/>
    <n v="137.69999999999999"/>
    <n v="59.59"/>
    <n v="78.11"/>
    <x v="0"/>
    <x v="2"/>
  </r>
  <r>
    <s v="ORD-0624"/>
    <d v="2026-07-17T00:00:00"/>
    <x v="3"/>
    <x v="1"/>
    <x v="2"/>
    <s v="Blue Sky Retail"/>
    <n v="1"/>
    <n v="49.72"/>
    <n v="49.72"/>
    <n v="20.83"/>
    <n v="28.89"/>
    <x v="1"/>
    <x v="8"/>
  </r>
  <r>
    <s v="ORD-0625"/>
    <d v="2025-08-08T00:00:00"/>
    <x v="3"/>
    <x v="1"/>
    <x v="11"/>
    <s v="Evergreen Mart"/>
    <n v="2"/>
    <n v="275.36"/>
    <n v="550.72"/>
    <n v="401.78"/>
    <n v="148.94"/>
    <x v="0"/>
    <x v="7"/>
  </r>
  <r>
    <s v="ORD-0626"/>
    <d v="2025-07-13T00:00:00"/>
    <x v="0"/>
    <x v="1"/>
    <x v="2"/>
    <s v="Dawn Enterprises"/>
    <n v="2"/>
    <n v="52.2"/>
    <n v="104.4"/>
    <n v="49.14"/>
    <n v="55.26"/>
    <x v="0"/>
    <x v="8"/>
  </r>
  <r>
    <s v="ORD-0627"/>
    <d v="2026-01-17T00:00:00"/>
    <x v="3"/>
    <x v="2"/>
    <x v="5"/>
    <s v="Evergreen Mart"/>
    <n v="3"/>
    <n v="573.85"/>
    <n v="1721.55"/>
    <n v="1096.1300000000001"/>
    <n v="625.41999999999996"/>
    <x v="1"/>
    <x v="1"/>
  </r>
  <r>
    <s v="ORD-0628"/>
    <d v="2026-05-14T00:00:00"/>
    <x v="2"/>
    <x v="0"/>
    <x v="0"/>
    <s v="Evergreen Mart"/>
    <n v="10"/>
    <n v="24.84"/>
    <n v="248.4"/>
    <n v="103.56"/>
    <n v="144.84"/>
    <x v="1"/>
    <x v="4"/>
  </r>
  <r>
    <s v="ORD-0629"/>
    <d v="2025-07-11T00:00:00"/>
    <x v="3"/>
    <x v="1"/>
    <x v="11"/>
    <s v="Harbor Sales"/>
    <n v="5"/>
    <n v="358.62"/>
    <n v="1793.1"/>
    <n v="1272.8"/>
    <n v="520.29999999999995"/>
    <x v="0"/>
    <x v="8"/>
  </r>
  <r>
    <s v="ORD-0630"/>
    <d v="2026-04-22T00:00:00"/>
    <x v="3"/>
    <x v="1"/>
    <x v="11"/>
    <s v="Harbor Sales"/>
    <n v="3"/>
    <n v="348.77"/>
    <n v="1046.31"/>
    <n v="732.15"/>
    <n v="314.16000000000003"/>
    <x v="1"/>
    <x v="3"/>
  </r>
  <r>
    <s v="ORD-0631"/>
    <d v="2026-01-24T00:00:00"/>
    <x v="1"/>
    <x v="1"/>
    <x v="6"/>
    <s v="Crescent Stores"/>
    <n v="3"/>
    <n v="839.95"/>
    <n v="2519.85"/>
    <n v="1907.59"/>
    <n v="612.26"/>
    <x v="1"/>
    <x v="1"/>
  </r>
  <r>
    <s v="ORD-0632"/>
    <d v="2025-12-27T00:00:00"/>
    <x v="3"/>
    <x v="0"/>
    <x v="1"/>
    <s v="Dawn Enterprises"/>
    <n v="10"/>
    <n v="45.94"/>
    <n v="459.4"/>
    <n v="227.03"/>
    <n v="232.37"/>
    <x v="0"/>
    <x v="0"/>
  </r>
  <r>
    <s v="ORD-0633"/>
    <d v="2025-11-26T00:00:00"/>
    <x v="0"/>
    <x v="0"/>
    <x v="0"/>
    <s v="Blue Sky Retail"/>
    <n v="9"/>
    <n v="27.8"/>
    <n v="250.2"/>
    <n v="114.24"/>
    <n v="135.96"/>
    <x v="0"/>
    <x v="2"/>
  </r>
  <r>
    <s v="ORD-0634"/>
    <d v="2025-08-02T00:00:00"/>
    <x v="2"/>
    <x v="1"/>
    <x v="6"/>
    <s v="Dawn Enterprises"/>
    <n v="4"/>
    <n v="888.43"/>
    <n v="3553.72"/>
    <n v="2690.63"/>
    <n v="863.09"/>
    <x v="0"/>
    <x v="7"/>
  </r>
  <r>
    <s v="ORD-0635"/>
    <d v="2025-02-01T00:00:00"/>
    <x v="1"/>
    <x v="1"/>
    <x v="2"/>
    <s v="Dawn Enterprises"/>
    <n v="5"/>
    <n v="52.1"/>
    <n v="260.5"/>
    <n v="117.07"/>
    <n v="143.43"/>
    <x v="0"/>
    <x v="10"/>
  </r>
  <r>
    <s v="ORD-0636"/>
    <d v="2026-01-06T00:00:00"/>
    <x v="2"/>
    <x v="1"/>
    <x v="2"/>
    <s v="Evergreen Mart"/>
    <n v="3"/>
    <n v="59.34"/>
    <n v="178.02"/>
    <n v="74.36"/>
    <n v="103.66"/>
    <x v="1"/>
    <x v="1"/>
  </r>
  <r>
    <s v="ORD-0637"/>
    <d v="2025-10-11T00:00:00"/>
    <x v="1"/>
    <x v="0"/>
    <x v="1"/>
    <s v="Blue Sky Retail"/>
    <n v="7"/>
    <n v="47.74"/>
    <n v="334.18"/>
    <n v="154.04"/>
    <n v="180.14"/>
    <x v="0"/>
    <x v="6"/>
  </r>
  <r>
    <s v="ORD-0638"/>
    <d v="2025-07-22T00:00:00"/>
    <x v="0"/>
    <x v="1"/>
    <x v="6"/>
    <s v="Futura Works"/>
    <n v="1"/>
    <n v="910.01"/>
    <n v="910.01"/>
    <n v="723.15"/>
    <n v="186.86"/>
    <x v="0"/>
    <x v="8"/>
  </r>
  <r>
    <s v="ORD-0639"/>
    <d v="2025-04-02T00:00:00"/>
    <x v="1"/>
    <x v="2"/>
    <x v="7"/>
    <s v="Blue Sky Retail"/>
    <n v="1"/>
    <n v="164.29"/>
    <n v="164.29"/>
    <n v="92.31"/>
    <n v="71.98"/>
    <x v="0"/>
    <x v="3"/>
  </r>
  <r>
    <s v="ORD-0640"/>
    <d v="2025-01-11T00:00:00"/>
    <x v="1"/>
    <x v="2"/>
    <x v="5"/>
    <s v="Crescent Stores"/>
    <n v="3"/>
    <n v="466.41"/>
    <n v="1399.23"/>
    <n v="927.52"/>
    <n v="471.71"/>
    <x v="0"/>
    <x v="1"/>
  </r>
  <r>
    <s v="ORD-0641"/>
    <d v="2025-01-18T00:00:00"/>
    <x v="3"/>
    <x v="2"/>
    <x v="7"/>
    <s v="Harbor Sales"/>
    <n v="3"/>
    <n v="189.79"/>
    <n v="569.37"/>
    <n v="328.31"/>
    <n v="241.06"/>
    <x v="0"/>
    <x v="1"/>
  </r>
  <r>
    <s v="ORD-0642"/>
    <d v="2026-06-17T00:00:00"/>
    <x v="0"/>
    <x v="0"/>
    <x v="10"/>
    <s v="Futura Works"/>
    <n v="4"/>
    <n v="17.22"/>
    <n v="68.88"/>
    <n v="28.36"/>
    <n v="40.520000000000003"/>
    <x v="1"/>
    <x v="5"/>
  </r>
  <r>
    <s v="ORD-0643"/>
    <d v="2025-05-11T00:00:00"/>
    <x v="2"/>
    <x v="0"/>
    <x v="1"/>
    <s v="Greenfield Co."/>
    <n v="12"/>
    <n v="49.52"/>
    <n v="594.24"/>
    <n v="274.8"/>
    <n v="319.44"/>
    <x v="0"/>
    <x v="4"/>
  </r>
  <r>
    <s v="ORD-0644"/>
    <d v="2025-01-06T00:00:00"/>
    <x v="2"/>
    <x v="0"/>
    <x v="10"/>
    <s v="Crescent Stores"/>
    <n v="11"/>
    <n v="18.03"/>
    <n v="198.33"/>
    <n v="75.16"/>
    <n v="123.17"/>
    <x v="0"/>
    <x v="1"/>
  </r>
  <r>
    <s v="ORD-0645"/>
    <d v="2025-05-04T00:00:00"/>
    <x v="2"/>
    <x v="2"/>
    <x v="9"/>
    <s v="Aarav Traders"/>
    <n v="3"/>
    <n v="243.04"/>
    <n v="729.12"/>
    <n v="408.26"/>
    <n v="320.86"/>
    <x v="0"/>
    <x v="4"/>
  </r>
  <r>
    <s v="ORD-0646"/>
    <d v="2025-07-12T00:00:00"/>
    <x v="2"/>
    <x v="1"/>
    <x v="6"/>
    <s v="Greenfield Co."/>
    <n v="5"/>
    <n v="881.23"/>
    <n v="4406.1499999999996"/>
    <n v="3434.06"/>
    <n v="972.09"/>
    <x v="0"/>
    <x v="8"/>
  </r>
  <r>
    <s v="ORD-0647"/>
    <d v="2025-04-11T00:00:00"/>
    <x v="1"/>
    <x v="2"/>
    <x v="9"/>
    <s v="Greenfield Co."/>
    <n v="3"/>
    <n v="249.1"/>
    <n v="747.3"/>
    <n v="447.3"/>
    <n v="300"/>
    <x v="0"/>
    <x v="3"/>
  </r>
  <r>
    <s v="ORD-0648"/>
    <d v="2025-08-11T00:00:00"/>
    <x v="1"/>
    <x v="2"/>
    <x v="3"/>
    <s v="Futura Works"/>
    <n v="4"/>
    <n v="379.09"/>
    <n v="1516.36"/>
    <n v="892.09"/>
    <n v="624.27"/>
    <x v="0"/>
    <x v="7"/>
  </r>
  <r>
    <s v="ORD-0649"/>
    <d v="2026-06-03T00:00:00"/>
    <x v="0"/>
    <x v="1"/>
    <x v="6"/>
    <s v="Greenfield Co."/>
    <n v="2"/>
    <n v="1057.3699999999999"/>
    <n v="2114.7399999999998"/>
    <n v="1560.53"/>
    <n v="554.21"/>
    <x v="1"/>
    <x v="5"/>
  </r>
  <r>
    <s v="ORD-0650"/>
    <d v="2025-09-17T00:00:00"/>
    <x v="3"/>
    <x v="2"/>
    <x v="9"/>
    <s v="Evergreen Mart"/>
    <n v="1"/>
    <n v="305.35000000000002"/>
    <n v="305.35000000000002"/>
    <n v="175.17"/>
    <n v="130.18"/>
    <x v="0"/>
    <x v="11"/>
  </r>
  <r>
    <s v="ORD-0651"/>
    <d v="2026-03-21T00:00:00"/>
    <x v="0"/>
    <x v="2"/>
    <x v="3"/>
    <s v="Aarav Traders"/>
    <n v="5"/>
    <n v="433.12"/>
    <n v="2165.6"/>
    <n v="1291.0899999999999"/>
    <n v="874.51"/>
    <x v="1"/>
    <x v="9"/>
  </r>
  <r>
    <s v="ORD-0652"/>
    <d v="2025-01-28T00:00:00"/>
    <x v="2"/>
    <x v="1"/>
    <x v="2"/>
    <s v="Dawn Enterprises"/>
    <n v="3"/>
    <n v="49.64"/>
    <n v="148.91999999999999"/>
    <n v="60.08"/>
    <n v="88.84"/>
    <x v="0"/>
    <x v="1"/>
  </r>
  <r>
    <s v="ORD-0653"/>
    <d v="2025-03-03T00:00:00"/>
    <x v="1"/>
    <x v="0"/>
    <x v="1"/>
    <s v="Evergreen Mart"/>
    <n v="6"/>
    <n v="45.93"/>
    <n v="275.58"/>
    <n v="133.25"/>
    <n v="142.33000000000001"/>
    <x v="0"/>
    <x v="9"/>
  </r>
  <r>
    <s v="ORD-0654"/>
    <d v="2026-06-28T00:00:00"/>
    <x v="2"/>
    <x v="2"/>
    <x v="5"/>
    <s v="Futura Works"/>
    <n v="3"/>
    <n v="539.85"/>
    <n v="1619.55"/>
    <n v="1036.95"/>
    <n v="582.6"/>
    <x v="1"/>
    <x v="5"/>
  </r>
  <r>
    <s v="ORD-0655"/>
    <d v="2025-09-20T00:00:00"/>
    <x v="0"/>
    <x v="1"/>
    <x v="2"/>
    <s v="Blue Sky Retail"/>
    <n v="2"/>
    <n v="60.02"/>
    <n v="120.04"/>
    <n v="53.78"/>
    <n v="66.260000000000005"/>
    <x v="0"/>
    <x v="11"/>
  </r>
  <r>
    <s v="ORD-0656"/>
    <d v="2026-04-18T00:00:00"/>
    <x v="3"/>
    <x v="2"/>
    <x v="9"/>
    <s v="Harbor Sales"/>
    <n v="1"/>
    <n v="258.19"/>
    <n v="258.19"/>
    <n v="159.09"/>
    <n v="99.1"/>
    <x v="1"/>
    <x v="3"/>
  </r>
  <r>
    <s v="ORD-0657"/>
    <d v="2026-01-08T00:00:00"/>
    <x v="3"/>
    <x v="0"/>
    <x v="10"/>
    <s v="Greenfield Co."/>
    <n v="10"/>
    <n v="20.51"/>
    <n v="205.1"/>
    <n v="87.44"/>
    <n v="117.66"/>
    <x v="1"/>
    <x v="1"/>
  </r>
  <r>
    <s v="ORD-0658"/>
    <d v="2026-02-03T00:00:00"/>
    <x v="3"/>
    <x v="0"/>
    <x v="1"/>
    <s v="Harbor Sales"/>
    <n v="11"/>
    <n v="46.04"/>
    <n v="506.44"/>
    <n v="251.05"/>
    <n v="255.39"/>
    <x v="1"/>
    <x v="10"/>
  </r>
  <r>
    <s v="ORD-0659"/>
    <d v="2026-07-02T00:00:00"/>
    <x v="3"/>
    <x v="2"/>
    <x v="7"/>
    <s v="Harbor Sales"/>
    <n v="5"/>
    <n v="161.05000000000001"/>
    <n v="805.25"/>
    <n v="450.36"/>
    <n v="354.89"/>
    <x v="1"/>
    <x v="8"/>
  </r>
  <r>
    <s v="ORD-0660"/>
    <d v="2026-07-11T00:00:00"/>
    <x v="2"/>
    <x v="0"/>
    <x v="8"/>
    <s v="Blue Sky Retail"/>
    <n v="6"/>
    <n v="10.48"/>
    <n v="62.88"/>
    <n v="24.64"/>
    <n v="38.24"/>
    <x v="1"/>
    <x v="8"/>
  </r>
  <r>
    <s v="ORD-0661"/>
    <d v="2025-10-19T00:00:00"/>
    <x v="2"/>
    <x v="1"/>
    <x v="11"/>
    <s v="Dawn Enterprises"/>
    <n v="5"/>
    <n v="348.37"/>
    <n v="1741.85"/>
    <n v="1198.0899999999999"/>
    <n v="543.76"/>
    <x v="0"/>
    <x v="6"/>
  </r>
  <r>
    <s v="ORD-0662"/>
    <d v="2026-08-03T00:00:00"/>
    <x v="0"/>
    <x v="0"/>
    <x v="1"/>
    <s v="Crescent Stores"/>
    <n v="9"/>
    <n v="39.92"/>
    <n v="359.28"/>
    <n v="175.46"/>
    <n v="183.82"/>
    <x v="1"/>
    <x v="7"/>
  </r>
  <r>
    <s v="ORD-0663"/>
    <d v="2025-08-19T00:00:00"/>
    <x v="3"/>
    <x v="1"/>
    <x v="2"/>
    <s v="Evergreen Mart"/>
    <n v="5"/>
    <n v="49.95"/>
    <n v="249.75"/>
    <n v="114.75"/>
    <n v="135"/>
    <x v="0"/>
    <x v="7"/>
  </r>
  <r>
    <s v="ORD-0664"/>
    <d v="2025-01-15T00:00:00"/>
    <x v="3"/>
    <x v="2"/>
    <x v="5"/>
    <s v="Greenfield Co."/>
    <n v="2"/>
    <n v="555.15"/>
    <n v="1110.3"/>
    <n v="713.32"/>
    <n v="396.98"/>
    <x v="0"/>
    <x v="1"/>
  </r>
  <r>
    <s v="ORD-0665"/>
    <d v="2026-01-22T00:00:00"/>
    <x v="0"/>
    <x v="2"/>
    <x v="3"/>
    <s v="Crescent Stores"/>
    <n v="5"/>
    <n v="444.15"/>
    <n v="2220.75"/>
    <n v="1354.66"/>
    <n v="866.09"/>
    <x v="1"/>
    <x v="1"/>
  </r>
  <r>
    <s v="ORD-0666"/>
    <d v="2025-04-30T00:00:00"/>
    <x v="2"/>
    <x v="1"/>
    <x v="11"/>
    <s v="Evergreen Mart"/>
    <n v="3"/>
    <n v="291.27999999999997"/>
    <n v="873.84"/>
    <n v="596.6"/>
    <n v="277.24"/>
    <x v="0"/>
    <x v="3"/>
  </r>
  <r>
    <s v="ORD-0667"/>
    <d v="2025-08-28T00:00:00"/>
    <x v="1"/>
    <x v="1"/>
    <x v="6"/>
    <s v="Aarav Traders"/>
    <n v="3"/>
    <n v="995.78"/>
    <n v="2987.34"/>
    <n v="2299.54"/>
    <n v="687.8"/>
    <x v="0"/>
    <x v="7"/>
  </r>
  <r>
    <s v="ORD-0668"/>
    <d v="2026-07-21T00:00:00"/>
    <x v="2"/>
    <x v="2"/>
    <x v="9"/>
    <s v="Evergreen Mart"/>
    <n v="3"/>
    <n v="269.23"/>
    <n v="807.69"/>
    <n v="471.27"/>
    <n v="336.42"/>
    <x v="1"/>
    <x v="8"/>
  </r>
  <r>
    <s v="ORD-0669"/>
    <d v="2026-08-04T00:00:00"/>
    <x v="0"/>
    <x v="0"/>
    <x v="10"/>
    <s v="Blue Sky Retail"/>
    <n v="1"/>
    <n v="17.649999999999999"/>
    <n v="17.649999999999999"/>
    <n v="6.98"/>
    <n v="10.67"/>
    <x v="1"/>
    <x v="7"/>
  </r>
  <r>
    <s v="ORD-0670"/>
    <d v="2025-01-11T00:00:00"/>
    <x v="3"/>
    <x v="2"/>
    <x v="9"/>
    <s v="Harbor Sales"/>
    <n v="5"/>
    <n v="298.67"/>
    <n v="1493.35"/>
    <n v="867.8"/>
    <n v="625.54999999999995"/>
    <x v="0"/>
    <x v="1"/>
  </r>
  <r>
    <s v="ORD-0671"/>
    <d v="2026-07-30T00:00:00"/>
    <x v="0"/>
    <x v="0"/>
    <x v="1"/>
    <s v="Crescent Stores"/>
    <n v="2"/>
    <n v="50.12"/>
    <n v="100.24"/>
    <n v="49.5"/>
    <n v="50.74"/>
    <x v="1"/>
    <x v="8"/>
  </r>
  <r>
    <s v="ORD-0672"/>
    <d v="2025-05-30T00:00:00"/>
    <x v="0"/>
    <x v="1"/>
    <x v="2"/>
    <s v="Aarav Traders"/>
    <n v="5"/>
    <n v="55.7"/>
    <n v="278.5"/>
    <n v="127.08"/>
    <n v="151.41999999999999"/>
    <x v="0"/>
    <x v="4"/>
  </r>
  <r>
    <s v="ORD-0673"/>
    <d v="2025-10-08T00:00:00"/>
    <x v="2"/>
    <x v="0"/>
    <x v="0"/>
    <s v="Blue Sky Retail"/>
    <n v="4"/>
    <n v="22.33"/>
    <n v="89.32"/>
    <n v="37.46"/>
    <n v="51.86"/>
    <x v="0"/>
    <x v="6"/>
  </r>
  <r>
    <s v="ORD-0674"/>
    <d v="2025-03-06T00:00:00"/>
    <x v="2"/>
    <x v="0"/>
    <x v="10"/>
    <s v="Greenfield Co."/>
    <n v="2"/>
    <n v="20.45"/>
    <n v="40.9"/>
    <n v="14.57"/>
    <n v="26.33"/>
    <x v="0"/>
    <x v="9"/>
  </r>
  <r>
    <s v="ORD-0675"/>
    <d v="2026-03-26T00:00:00"/>
    <x v="3"/>
    <x v="2"/>
    <x v="5"/>
    <s v="Greenfield Co."/>
    <n v="1"/>
    <n v="547.28"/>
    <n v="547.28"/>
    <n v="361.84"/>
    <n v="185.44"/>
    <x v="1"/>
    <x v="9"/>
  </r>
  <r>
    <s v="ORD-0676"/>
    <d v="2025-11-28T00:00:00"/>
    <x v="2"/>
    <x v="2"/>
    <x v="9"/>
    <s v="Evergreen Mart"/>
    <n v="5"/>
    <n v="296.31"/>
    <n v="1481.55"/>
    <n v="891.76"/>
    <n v="589.79"/>
    <x v="0"/>
    <x v="2"/>
  </r>
  <r>
    <s v="ORD-0677"/>
    <d v="2025-07-24T00:00:00"/>
    <x v="1"/>
    <x v="2"/>
    <x v="5"/>
    <s v="Futura Works"/>
    <n v="4"/>
    <n v="519.83000000000004"/>
    <n v="2079.3200000000002"/>
    <n v="1286.45"/>
    <n v="792.87"/>
    <x v="0"/>
    <x v="8"/>
  </r>
  <r>
    <s v="ORD-0678"/>
    <d v="2026-03-05T00:00:00"/>
    <x v="1"/>
    <x v="1"/>
    <x v="11"/>
    <s v="Greenfield Co."/>
    <n v="3"/>
    <n v="353.73"/>
    <n v="1061.19"/>
    <n v="773.64"/>
    <n v="287.55"/>
    <x v="1"/>
    <x v="9"/>
  </r>
  <r>
    <s v="ORD-0679"/>
    <d v="2025-05-23T00:00:00"/>
    <x v="0"/>
    <x v="0"/>
    <x v="8"/>
    <s v="Blue Sky Retail"/>
    <n v="9"/>
    <n v="10.79"/>
    <n v="97.11"/>
    <n v="31.3"/>
    <n v="65.81"/>
    <x v="0"/>
    <x v="4"/>
  </r>
  <r>
    <s v="ORD-0680"/>
    <d v="2026-04-02T00:00:00"/>
    <x v="0"/>
    <x v="0"/>
    <x v="0"/>
    <s v="Blue Sky Retail"/>
    <n v="12"/>
    <n v="23.88"/>
    <n v="286.56"/>
    <n v="116.95"/>
    <n v="169.61"/>
    <x v="1"/>
    <x v="3"/>
  </r>
  <r>
    <s v="ORD-0681"/>
    <d v="2026-01-13T00:00:00"/>
    <x v="2"/>
    <x v="0"/>
    <x v="0"/>
    <s v="Blue Sky Retail"/>
    <n v="12"/>
    <n v="25.91"/>
    <n v="310.92"/>
    <n v="140.56"/>
    <n v="170.36"/>
    <x v="1"/>
    <x v="1"/>
  </r>
  <r>
    <s v="ORD-0682"/>
    <d v="2026-06-05T00:00:00"/>
    <x v="0"/>
    <x v="0"/>
    <x v="0"/>
    <s v="Harbor Sales"/>
    <n v="5"/>
    <n v="24.24"/>
    <n v="121.2"/>
    <n v="50.16"/>
    <n v="71.040000000000006"/>
    <x v="1"/>
    <x v="5"/>
  </r>
  <r>
    <s v="ORD-0683"/>
    <d v="2026-01-15T00:00:00"/>
    <x v="1"/>
    <x v="1"/>
    <x v="4"/>
    <s v="Crescent Stores"/>
    <n v="2"/>
    <n v="236.05"/>
    <n v="472.1"/>
    <n v="313.25"/>
    <n v="158.85"/>
    <x v="1"/>
    <x v="1"/>
  </r>
  <r>
    <s v="ORD-0684"/>
    <d v="2025-09-07T00:00:00"/>
    <x v="0"/>
    <x v="0"/>
    <x v="0"/>
    <s v="Futura Works"/>
    <n v="2"/>
    <n v="23.51"/>
    <n v="47.02"/>
    <n v="18.579999999999998"/>
    <n v="28.44"/>
    <x v="0"/>
    <x v="11"/>
  </r>
  <r>
    <s v="ORD-0685"/>
    <d v="2026-05-07T00:00:00"/>
    <x v="3"/>
    <x v="0"/>
    <x v="10"/>
    <s v="Dawn Enterprises"/>
    <n v="4"/>
    <n v="20.3"/>
    <n v="81.2"/>
    <n v="32.909999999999997"/>
    <n v="48.29"/>
    <x v="1"/>
    <x v="4"/>
  </r>
  <r>
    <s v="ORD-0686"/>
    <d v="2026-04-11T00:00:00"/>
    <x v="3"/>
    <x v="1"/>
    <x v="11"/>
    <s v="Harbor Sales"/>
    <n v="2"/>
    <n v="333.08"/>
    <n v="666.16"/>
    <n v="491.3"/>
    <n v="174.86"/>
    <x v="1"/>
    <x v="3"/>
  </r>
  <r>
    <s v="ORD-0687"/>
    <d v="2026-08-06T00:00:00"/>
    <x v="1"/>
    <x v="0"/>
    <x v="8"/>
    <s v="Greenfield Co."/>
    <n v="7"/>
    <n v="10.49"/>
    <n v="73.430000000000007"/>
    <n v="25.73"/>
    <n v="47.7"/>
    <x v="1"/>
    <x v="7"/>
  </r>
  <r>
    <s v="ORD-0688"/>
    <d v="2026-06-08T00:00:00"/>
    <x v="3"/>
    <x v="1"/>
    <x v="11"/>
    <s v="Harbor Sales"/>
    <n v="1"/>
    <n v="287.47000000000003"/>
    <n v="287.47000000000003"/>
    <n v="216.3"/>
    <n v="71.17"/>
    <x v="1"/>
    <x v="5"/>
  </r>
  <r>
    <s v="ORD-0689"/>
    <d v="2026-03-23T00:00:00"/>
    <x v="3"/>
    <x v="2"/>
    <x v="3"/>
    <s v="Futura Works"/>
    <n v="3"/>
    <n v="440.35"/>
    <n v="1321.05"/>
    <n v="809"/>
    <n v="512.04999999999995"/>
    <x v="1"/>
    <x v="9"/>
  </r>
  <r>
    <s v="ORD-0690"/>
    <d v="2026-07-02T00:00:00"/>
    <x v="3"/>
    <x v="2"/>
    <x v="5"/>
    <s v="Dawn Enterprises"/>
    <n v="5"/>
    <n v="448.33"/>
    <n v="2241.65"/>
    <n v="1463.64"/>
    <n v="778.01"/>
    <x v="1"/>
    <x v="8"/>
  </r>
  <r>
    <s v="ORD-0691"/>
    <d v="2025-01-11T00:00:00"/>
    <x v="3"/>
    <x v="2"/>
    <x v="7"/>
    <s v="Blue Sky Retail"/>
    <n v="4"/>
    <n v="202.6"/>
    <n v="810.4"/>
    <n v="445.41"/>
    <n v="364.99"/>
    <x v="0"/>
    <x v="1"/>
  </r>
  <r>
    <s v="ORD-0692"/>
    <d v="2025-11-19T00:00:00"/>
    <x v="1"/>
    <x v="0"/>
    <x v="1"/>
    <s v="Harbor Sales"/>
    <n v="6"/>
    <n v="46.45"/>
    <n v="278.7"/>
    <n v="128.54"/>
    <n v="150.16"/>
    <x v="0"/>
    <x v="2"/>
  </r>
  <r>
    <s v="ORD-0693"/>
    <d v="2025-09-26T00:00:00"/>
    <x v="2"/>
    <x v="2"/>
    <x v="3"/>
    <s v="Evergreen Mart"/>
    <n v="1"/>
    <n v="452.31"/>
    <n v="452.31"/>
    <n v="290.45"/>
    <n v="161.86000000000001"/>
    <x v="0"/>
    <x v="11"/>
  </r>
  <r>
    <s v="ORD-0694"/>
    <d v="2026-02-10T00:00:00"/>
    <x v="0"/>
    <x v="1"/>
    <x v="6"/>
    <s v="Futura Works"/>
    <n v="1"/>
    <n v="848.43"/>
    <n v="848.43"/>
    <n v="622.28"/>
    <n v="226.15"/>
    <x v="1"/>
    <x v="10"/>
  </r>
  <r>
    <s v="ORD-0695"/>
    <d v="2026-03-14T00:00:00"/>
    <x v="0"/>
    <x v="1"/>
    <x v="2"/>
    <s v="Greenfield Co."/>
    <n v="1"/>
    <n v="61.78"/>
    <n v="61.78"/>
    <n v="25.7"/>
    <n v="36.08"/>
    <x v="1"/>
    <x v="9"/>
  </r>
  <r>
    <s v="ORD-0696"/>
    <d v="2026-05-28T00:00:00"/>
    <x v="3"/>
    <x v="1"/>
    <x v="6"/>
    <s v="Greenfield Co."/>
    <n v="5"/>
    <n v="851.24"/>
    <n v="4256.2"/>
    <n v="3217.32"/>
    <n v="1038.8800000000001"/>
    <x v="1"/>
    <x v="4"/>
  </r>
  <r>
    <s v="ORD-0697"/>
    <d v="2026-07-22T00:00:00"/>
    <x v="3"/>
    <x v="1"/>
    <x v="6"/>
    <s v="Crescent Stores"/>
    <n v="3"/>
    <n v="888.11"/>
    <n v="2664.33"/>
    <n v="1962.52"/>
    <n v="701.81"/>
    <x v="1"/>
    <x v="8"/>
  </r>
  <r>
    <s v="ORD-0698"/>
    <d v="2026-04-28T00:00:00"/>
    <x v="1"/>
    <x v="1"/>
    <x v="11"/>
    <s v="Aarav Traders"/>
    <n v="4"/>
    <n v="301.64999999999998"/>
    <n v="1206.5999999999999"/>
    <n v="905.24"/>
    <n v="301.36"/>
    <x v="1"/>
    <x v="3"/>
  </r>
  <r>
    <s v="ORD-0699"/>
    <d v="2025-02-22T00:00:00"/>
    <x v="1"/>
    <x v="2"/>
    <x v="3"/>
    <s v="Blue Sky Retail"/>
    <n v="2"/>
    <n v="376.36"/>
    <n v="752.72"/>
    <n v="493.72"/>
    <n v="259"/>
    <x v="0"/>
    <x v="10"/>
  </r>
  <r>
    <s v="ORD-0700"/>
    <d v="2025-10-08T00:00:00"/>
    <x v="1"/>
    <x v="1"/>
    <x v="6"/>
    <s v="Aarav Traders"/>
    <n v="2"/>
    <n v="1028.28"/>
    <n v="2056.56"/>
    <n v="1580.81"/>
    <n v="475.75"/>
    <x v="0"/>
    <x v="6"/>
  </r>
  <r>
    <s v="ORD-0701"/>
    <d v="2025-01-06T00:00:00"/>
    <x v="0"/>
    <x v="2"/>
    <x v="3"/>
    <s v="Harbor Sales"/>
    <n v="2"/>
    <n v="406.12"/>
    <n v="812.24"/>
    <n v="521.76"/>
    <n v="290.48"/>
    <x v="0"/>
    <x v="1"/>
  </r>
  <r>
    <s v="ORD-0702"/>
    <d v="2026-04-04T00:00:00"/>
    <x v="0"/>
    <x v="0"/>
    <x v="0"/>
    <s v="Dawn Enterprises"/>
    <n v="2"/>
    <n v="24.36"/>
    <n v="48.72"/>
    <n v="18.86"/>
    <n v="29.86"/>
    <x v="1"/>
    <x v="3"/>
  </r>
  <r>
    <s v="ORD-0703"/>
    <d v="2025-02-28T00:00:00"/>
    <x v="2"/>
    <x v="0"/>
    <x v="8"/>
    <s v="Harbor Sales"/>
    <n v="9"/>
    <n v="12.2"/>
    <n v="109.8"/>
    <n v="36.590000000000003"/>
    <n v="73.209999999999994"/>
    <x v="0"/>
    <x v="10"/>
  </r>
  <r>
    <s v="ORD-0704"/>
    <d v="2026-06-22T00:00:00"/>
    <x v="3"/>
    <x v="0"/>
    <x v="1"/>
    <s v="Futura Works"/>
    <n v="9"/>
    <n v="45.9"/>
    <n v="413.1"/>
    <n v="181.91"/>
    <n v="231.19"/>
    <x v="1"/>
    <x v="5"/>
  </r>
  <r>
    <s v="ORD-0705"/>
    <d v="2025-12-15T00:00:00"/>
    <x v="1"/>
    <x v="1"/>
    <x v="6"/>
    <s v="Aarav Traders"/>
    <n v="1"/>
    <n v="920.96"/>
    <n v="920.96"/>
    <n v="711.4"/>
    <n v="209.56"/>
    <x v="0"/>
    <x v="0"/>
  </r>
  <r>
    <s v="ORD-0706"/>
    <d v="2026-06-19T00:00:00"/>
    <x v="2"/>
    <x v="0"/>
    <x v="1"/>
    <s v="Futura Works"/>
    <n v="9"/>
    <n v="43.08"/>
    <n v="387.72"/>
    <n v="184.59"/>
    <n v="203.13"/>
    <x v="1"/>
    <x v="5"/>
  </r>
  <r>
    <s v="ORD-0707"/>
    <d v="2026-07-29T00:00:00"/>
    <x v="2"/>
    <x v="2"/>
    <x v="5"/>
    <s v="Blue Sky Retail"/>
    <n v="4"/>
    <n v="469.1"/>
    <n v="1876.4"/>
    <n v="1179.82"/>
    <n v="696.58"/>
    <x v="1"/>
    <x v="8"/>
  </r>
  <r>
    <s v="ORD-0708"/>
    <d v="2025-12-12T00:00:00"/>
    <x v="2"/>
    <x v="0"/>
    <x v="1"/>
    <s v="Blue Sky Retail"/>
    <n v="10"/>
    <n v="43.23"/>
    <n v="432.3"/>
    <n v="212.7"/>
    <n v="219.6"/>
    <x v="0"/>
    <x v="0"/>
  </r>
  <r>
    <s v="ORD-0709"/>
    <d v="2025-03-14T00:00:00"/>
    <x v="2"/>
    <x v="2"/>
    <x v="3"/>
    <s v="Blue Sky Retail"/>
    <n v="2"/>
    <n v="458.44"/>
    <n v="916.88"/>
    <n v="547.63"/>
    <n v="369.25"/>
    <x v="0"/>
    <x v="9"/>
  </r>
  <r>
    <s v="ORD-0710"/>
    <d v="2026-08-08T00:00:00"/>
    <x v="1"/>
    <x v="0"/>
    <x v="0"/>
    <s v="Blue Sky Retail"/>
    <n v="9"/>
    <n v="27.41"/>
    <n v="246.69"/>
    <n v="103.24"/>
    <n v="143.44999999999999"/>
    <x v="1"/>
    <x v="7"/>
  </r>
  <r>
    <s v="ORD-0711"/>
    <d v="2025-11-20T00:00:00"/>
    <x v="3"/>
    <x v="1"/>
    <x v="2"/>
    <s v="Harbor Sales"/>
    <n v="2"/>
    <n v="59.37"/>
    <n v="118.74"/>
    <n v="47.59"/>
    <n v="71.150000000000006"/>
    <x v="0"/>
    <x v="2"/>
  </r>
  <r>
    <s v="ORD-0712"/>
    <d v="2025-03-27T00:00:00"/>
    <x v="3"/>
    <x v="1"/>
    <x v="4"/>
    <s v="Dawn Enterprises"/>
    <n v="3"/>
    <n v="190.06"/>
    <n v="570.17999999999995"/>
    <n v="376.64"/>
    <n v="193.54"/>
    <x v="0"/>
    <x v="9"/>
  </r>
  <r>
    <s v="ORD-0713"/>
    <d v="2025-06-21T00:00:00"/>
    <x v="0"/>
    <x v="2"/>
    <x v="7"/>
    <s v="Evergreen Mart"/>
    <n v="1"/>
    <n v="162.58000000000001"/>
    <n v="162.58000000000001"/>
    <n v="91.73"/>
    <n v="70.849999999999994"/>
    <x v="0"/>
    <x v="5"/>
  </r>
  <r>
    <s v="ORD-0714"/>
    <d v="2025-11-21T00:00:00"/>
    <x v="3"/>
    <x v="1"/>
    <x v="4"/>
    <s v="Aarav Traders"/>
    <n v="5"/>
    <n v="236.32"/>
    <n v="1181.5999999999999"/>
    <n v="736.68"/>
    <n v="444.92"/>
    <x v="0"/>
    <x v="2"/>
  </r>
  <r>
    <s v="ORD-0715"/>
    <d v="2025-05-04T00:00:00"/>
    <x v="0"/>
    <x v="0"/>
    <x v="8"/>
    <s v="Aarav Traders"/>
    <n v="1"/>
    <n v="11.59"/>
    <n v="11.59"/>
    <n v="4"/>
    <n v="7.59"/>
    <x v="0"/>
    <x v="4"/>
  </r>
  <r>
    <s v="ORD-0716"/>
    <d v="2025-08-04T00:00:00"/>
    <x v="3"/>
    <x v="2"/>
    <x v="5"/>
    <s v="Greenfield Co."/>
    <n v="4"/>
    <n v="535.86"/>
    <n v="2143.44"/>
    <n v="1376.5"/>
    <n v="766.94"/>
    <x v="0"/>
    <x v="7"/>
  </r>
  <r>
    <s v="ORD-0717"/>
    <d v="2026-02-06T00:00:00"/>
    <x v="2"/>
    <x v="0"/>
    <x v="8"/>
    <s v="Evergreen Mart"/>
    <n v="9"/>
    <n v="10.94"/>
    <n v="98.46"/>
    <n v="32.880000000000003"/>
    <n v="65.58"/>
    <x v="1"/>
    <x v="10"/>
  </r>
  <r>
    <s v="ORD-0718"/>
    <d v="2025-02-27T00:00:00"/>
    <x v="3"/>
    <x v="1"/>
    <x v="2"/>
    <s v="Crescent Stores"/>
    <n v="2"/>
    <n v="50.44"/>
    <n v="100.88"/>
    <n v="42.33"/>
    <n v="58.55"/>
    <x v="0"/>
    <x v="10"/>
  </r>
  <r>
    <s v="ORD-0719"/>
    <d v="2025-02-01T00:00:00"/>
    <x v="0"/>
    <x v="0"/>
    <x v="1"/>
    <s v="Futura Works"/>
    <n v="1"/>
    <n v="46.13"/>
    <n v="46.13"/>
    <n v="20.12"/>
    <n v="26.01"/>
    <x v="0"/>
    <x v="10"/>
  </r>
  <r>
    <s v="ORD-0720"/>
    <d v="2026-05-29T00:00:00"/>
    <x v="1"/>
    <x v="0"/>
    <x v="0"/>
    <s v="Greenfield Co."/>
    <n v="9"/>
    <n v="28.25"/>
    <n v="254.25"/>
    <n v="98.52"/>
    <n v="155.72999999999999"/>
    <x v="1"/>
    <x v="4"/>
  </r>
  <r>
    <s v="ORD-0721"/>
    <d v="2025-07-03T00:00:00"/>
    <x v="2"/>
    <x v="1"/>
    <x v="4"/>
    <s v="Greenfield Co."/>
    <n v="5"/>
    <n v="227.23"/>
    <n v="1136.1500000000001"/>
    <n v="695.86"/>
    <n v="440.29"/>
    <x v="0"/>
    <x v="8"/>
  </r>
  <r>
    <s v="ORD-0722"/>
    <d v="2026-08-20T00:00:00"/>
    <x v="2"/>
    <x v="1"/>
    <x v="11"/>
    <s v="Harbor Sales"/>
    <n v="5"/>
    <n v="344.99"/>
    <n v="1724.95"/>
    <n v="1228.6600000000001"/>
    <n v="496.29"/>
    <x v="1"/>
    <x v="7"/>
  </r>
  <r>
    <s v="ORD-0723"/>
    <d v="2025-07-23T00:00:00"/>
    <x v="0"/>
    <x v="2"/>
    <x v="9"/>
    <s v="Futura Works"/>
    <n v="3"/>
    <n v="289.41000000000003"/>
    <n v="868.23"/>
    <n v="495.15"/>
    <n v="373.08"/>
    <x v="0"/>
    <x v="8"/>
  </r>
  <r>
    <s v="ORD-0724"/>
    <d v="2026-06-04T00:00:00"/>
    <x v="1"/>
    <x v="1"/>
    <x v="6"/>
    <s v="Aarav Traders"/>
    <n v="1"/>
    <n v="1064.71"/>
    <n v="1064.71"/>
    <n v="843.28"/>
    <n v="221.43"/>
    <x v="1"/>
    <x v="5"/>
  </r>
  <r>
    <s v="ORD-0725"/>
    <d v="2025-11-30T00:00:00"/>
    <x v="2"/>
    <x v="0"/>
    <x v="8"/>
    <s v="Evergreen Mart"/>
    <n v="8"/>
    <n v="12.7"/>
    <n v="101.6"/>
    <n v="34.299999999999997"/>
    <n v="67.3"/>
    <x v="0"/>
    <x v="2"/>
  </r>
  <r>
    <s v="ORD-0726"/>
    <d v="2026-02-13T00:00:00"/>
    <x v="2"/>
    <x v="1"/>
    <x v="6"/>
    <s v="Blue Sky Retail"/>
    <n v="4"/>
    <n v="817.41"/>
    <n v="3269.64"/>
    <n v="2356.5300000000002"/>
    <n v="913.11"/>
    <x v="1"/>
    <x v="10"/>
  </r>
  <r>
    <s v="ORD-0727"/>
    <d v="2026-04-18T00:00:00"/>
    <x v="3"/>
    <x v="2"/>
    <x v="7"/>
    <s v="Aarav Traders"/>
    <n v="3"/>
    <n v="171.63"/>
    <n v="514.89"/>
    <n v="295.14"/>
    <n v="219.75"/>
    <x v="1"/>
    <x v="3"/>
  </r>
  <r>
    <s v="ORD-0728"/>
    <d v="2025-10-14T00:00:00"/>
    <x v="3"/>
    <x v="1"/>
    <x v="2"/>
    <s v="Harbor Sales"/>
    <n v="2"/>
    <n v="61.51"/>
    <n v="123.02"/>
    <n v="57.33"/>
    <n v="65.69"/>
    <x v="0"/>
    <x v="6"/>
  </r>
  <r>
    <s v="ORD-0729"/>
    <d v="2025-04-02T00:00:00"/>
    <x v="2"/>
    <x v="1"/>
    <x v="6"/>
    <s v="Greenfield Co."/>
    <n v="3"/>
    <n v="941.47"/>
    <n v="2824.41"/>
    <n v="2256.29"/>
    <n v="568.12"/>
    <x v="0"/>
    <x v="3"/>
  </r>
  <r>
    <s v="ORD-0730"/>
    <d v="2026-02-11T00:00:00"/>
    <x v="1"/>
    <x v="0"/>
    <x v="0"/>
    <s v="Aarav Traders"/>
    <n v="2"/>
    <n v="21.93"/>
    <n v="43.86"/>
    <n v="17.05"/>
    <n v="26.81"/>
    <x v="1"/>
    <x v="10"/>
  </r>
  <r>
    <s v="ORD-0731"/>
    <d v="2026-06-01T00:00:00"/>
    <x v="2"/>
    <x v="2"/>
    <x v="5"/>
    <s v="Evergreen Mart"/>
    <n v="5"/>
    <n v="504.82"/>
    <n v="2524.1"/>
    <n v="1579.47"/>
    <n v="944.63"/>
    <x v="1"/>
    <x v="5"/>
  </r>
  <r>
    <s v="ORD-0732"/>
    <d v="2025-02-15T00:00:00"/>
    <x v="2"/>
    <x v="0"/>
    <x v="1"/>
    <s v="Crescent Stores"/>
    <n v="3"/>
    <n v="46.44"/>
    <n v="139.32"/>
    <n v="65.02"/>
    <n v="74.3"/>
    <x v="0"/>
    <x v="10"/>
  </r>
  <r>
    <s v="ORD-0733"/>
    <d v="2026-05-07T00:00:00"/>
    <x v="3"/>
    <x v="1"/>
    <x v="6"/>
    <s v="Futura Works"/>
    <n v="4"/>
    <n v="1024.23"/>
    <n v="4096.92"/>
    <n v="3231.99"/>
    <n v="864.93"/>
    <x v="1"/>
    <x v="4"/>
  </r>
  <r>
    <s v="ORD-0734"/>
    <d v="2025-07-18T00:00:00"/>
    <x v="0"/>
    <x v="0"/>
    <x v="8"/>
    <s v="Blue Sky Retail"/>
    <n v="6"/>
    <n v="13.19"/>
    <n v="79.14"/>
    <n v="30.25"/>
    <n v="48.89"/>
    <x v="0"/>
    <x v="8"/>
  </r>
  <r>
    <s v="ORD-0735"/>
    <d v="2025-06-10T00:00:00"/>
    <x v="2"/>
    <x v="2"/>
    <x v="3"/>
    <s v="Greenfield Co."/>
    <n v="1"/>
    <n v="403.31"/>
    <n v="403.31"/>
    <n v="252.84"/>
    <n v="150.47"/>
    <x v="0"/>
    <x v="5"/>
  </r>
  <r>
    <s v="ORD-0736"/>
    <d v="2026-08-18T00:00:00"/>
    <x v="1"/>
    <x v="0"/>
    <x v="1"/>
    <s v="Futura Works"/>
    <n v="9"/>
    <n v="50.13"/>
    <n v="451.17"/>
    <n v="206.62"/>
    <n v="244.55"/>
    <x v="1"/>
    <x v="7"/>
  </r>
  <r>
    <s v="ORD-0737"/>
    <d v="2026-01-01T00:00:00"/>
    <x v="2"/>
    <x v="2"/>
    <x v="9"/>
    <s v="Aarav Traders"/>
    <n v="1"/>
    <n v="309.98"/>
    <n v="309.98"/>
    <n v="172.36"/>
    <n v="137.62"/>
    <x v="1"/>
    <x v="1"/>
  </r>
  <r>
    <s v="ORD-0738"/>
    <d v="2025-04-28T00:00:00"/>
    <x v="0"/>
    <x v="2"/>
    <x v="7"/>
    <s v="Blue Sky Retail"/>
    <n v="3"/>
    <n v="164.54"/>
    <n v="493.62"/>
    <n v="290.77999999999997"/>
    <n v="202.84"/>
    <x v="0"/>
    <x v="3"/>
  </r>
  <r>
    <s v="ORD-0739"/>
    <d v="2025-06-27T00:00:00"/>
    <x v="3"/>
    <x v="0"/>
    <x v="8"/>
    <s v="Greenfield Co."/>
    <n v="5"/>
    <n v="13.53"/>
    <n v="67.650000000000006"/>
    <n v="24.25"/>
    <n v="43.4"/>
    <x v="0"/>
    <x v="5"/>
  </r>
  <r>
    <s v="ORD-0740"/>
    <d v="2025-11-13T00:00:00"/>
    <x v="2"/>
    <x v="1"/>
    <x v="6"/>
    <s v="Aarav Traders"/>
    <n v="5"/>
    <n v="991.79"/>
    <n v="4958.95"/>
    <n v="3765.5"/>
    <n v="1193.45"/>
    <x v="0"/>
    <x v="2"/>
  </r>
  <r>
    <s v="ORD-0741"/>
    <d v="2026-07-26T00:00:00"/>
    <x v="1"/>
    <x v="1"/>
    <x v="2"/>
    <s v="Dawn Enterprises"/>
    <n v="4"/>
    <n v="57.82"/>
    <n v="231.28"/>
    <n v="103.19"/>
    <n v="128.09"/>
    <x v="1"/>
    <x v="8"/>
  </r>
  <r>
    <s v="ORD-0742"/>
    <d v="2026-04-18T00:00:00"/>
    <x v="1"/>
    <x v="0"/>
    <x v="10"/>
    <s v="Evergreen Mart"/>
    <n v="1"/>
    <n v="19.989999999999998"/>
    <n v="19.989999999999998"/>
    <n v="7.63"/>
    <n v="12.36"/>
    <x v="1"/>
    <x v="3"/>
  </r>
  <r>
    <s v="ORD-0743"/>
    <d v="2026-01-30T00:00:00"/>
    <x v="2"/>
    <x v="0"/>
    <x v="0"/>
    <s v="Greenfield Co."/>
    <n v="7"/>
    <n v="27.8"/>
    <n v="194.6"/>
    <n v="78.05"/>
    <n v="116.55"/>
    <x v="1"/>
    <x v="1"/>
  </r>
  <r>
    <s v="ORD-0744"/>
    <d v="2025-02-23T00:00:00"/>
    <x v="2"/>
    <x v="1"/>
    <x v="4"/>
    <s v="Harbor Sales"/>
    <n v="4"/>
    <n v="200.96"/>
    <n v="803.84"/>
    <n v="506.58"/>
    <n v="297.26"/>
    <x v="0"/>
    <x v="10"/>
  </r>
  <r>
    <s v="ORD-0745"/>
    <d v="2026-08-14T00:00:00"/>
    <x v="1"/>
    <x v="0"/>
    <x v="10"/>
    <s v="Harbor Sales"/>
    <n v="11"/>
    <n v="19.05"/>
    <n v="209.55"/>
    <n v="78.06"/>
    <n v="131.49"/>
    <x v="1"/>
    <x v="7"/>
  </r>
  <r>
    <s v="ORD-0746"/>
    <d v="2026-05-05T00:00:00"/>
    <x v="0"/>
    <x v="1"/>
    <x v="11"/>
    <s v="Futura Works"/>
    <n v="5"/>
    <n v="315.2"/>
    <n v="1576"/>
    <n v="1102.51"/>
    <n v="473.49"/>
    <x v="1"/>
    <x v="4"/>
  </r>
  <r>
    <s v="ORD-0747"/>
    <d v="2025-01-22T00:00:00"/>
    <x v="3"/>
    <x v="0"/>
    <x v="10"/>
    <s v="Crescent Stores"/>
    <n v="1"/>
    <n v="20.440000000000001"/>
    <n v="20.440000000000001"/>
    <n v="8.19"/>
    <n v="12.25"/>
    <x v="0"/>
    <x v="1"/>
  </r>
  <r>
    <s v="ORD-0748"/>
    <d v="2026-04-10T00:00:00"/>
    <x v="0"/>
    <x v="0"/>
    <x v="8"/>
    <s v="Harbor Sales"/>
    <n v="5"/>
    <n v="10.54"/>
    <n v="52.7"/>
    <n v="18.510000000000002"/>
    <n v="34.19"/>
    <x v="1"/>
    <x v="3"/>
  </r>
  <r>
    <s v="ORD-0749"/>
    <d v="2026-01-17T00:00:00"/>
    <x v="0"/>
    <x v="2"/>
    <x v="5"/>
    <s v="Crescent Stores"/>
    <n v="3"/>
    <n v="466.51"/>
    <n v="1399.53"/>
    <n v="885.87"/>
    <n v="513.66"/>
    <x v="1"/>
    <x v="1"/>
  </r>
  <r>
    <s v="ORD-0750"/>
    <d v="2025-08-05T00:00:00"/>
    <x v="2"/>
    <x v="1"/>
    <x v="4"/>
    <s v="Aarav Traders"/>
    <n v="1"/>
    <n v="195.86"/>
    <n v="195.86"/>
    <n v="132.1"/>
    <n v="63.76"/>
    <x v="0"/>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A8C0C5-B950-45DC-9C74-2134D8B15CA2}"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5:G36" firstHeaderRow="0" firstDataRow="1" firstDataCol="0"/>
  <pivotFields count="13">
    <pivotField showAll="0"/>
    <pivotField numFmtId="164" showAll="0"/>
    <pivotField showAll="0">
      <items count="5">
        <item x="3"/>
        <item x="2"/>
        <item x="0"/>
        <item x="1"/>
        <item t="default"/>
      </items>
    </pivotField>
    <pivotField showAll="0"/>
    <pivotField showAll="0"/>
    <pivotField showAll="0"/>
    <pivotField dataField="1" numFmtId="3" showAll="0"/>
    <pivotField numFmtId="165" showAll="0"/>
    <pivotField dataField="1" numFmtId="165" showAll="0"/>
    <pivotField numFmtId="165" showAll="0"/>
    <pivotField dataField="1" numFmtId="165" showAll="0"/>
    <pivotField showAll="0"/>
    <pivotField showAll="0"/>
  </pivotFields>
  <rowItems count="1">
    <i/>
  </rowItems>
  <colFields count="1">
    <field x="-2"/>
  </colFields>
  <colItems count="3">
    <i>
      <x/>
    </i>
    <i i="1">
      <x v="1"/>
    </i>
    <i i="2">
      <x v="2"/>
    </i>
  </colItems>
  <dataFields count="3">
    <dataField name="Sum of Quantity" fld="6" baseField="0" baseItem="0" numFmtId="3"/>
    <dataField name="Sum of Sales" fld="8" baseField="0" baseItem="0" numFmtId="165"/>
    <dataField name="Sum of Profit"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9B15F5-D8B2-475D-9505-F8204EB9FD5B}"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B31" firstHeaderRow="1" firstDataRow="1" firstDataCol="1"/>
  <pivotFields count="13">
    <pivotField showAll="0"/>
    <pivotField numFmtId="164" showAll="0"/>
    <pivotField showAll="0">
      <items count="5">
        <item x="3"/>
        <item x="2"/>
        <item x="0"/>
        <item x="1"/>
        <item t="default"/>
      </items>
    </pivotField>
    <pivotField showAll="0"/>
    <pivotField axis="axisRow" showAll="0" measureFilter="1" sortType="descending">
      <items count="13">
        <item x="0"/>
        <item x="9"/>
        <item x="7"/>
        <item x="3"/>
        <item x="2"/>
        <item x="6"/>
        <item x="11"/>
        <item x="10"/>
        <item x="8"/>
        <item x="4"/>
        <item x="1"/>
        <item x="5"/>
        <item t="default"/>
      </items>
      <autoSortScope>
        <pivotArea dataOnly="0" outline="0" fieldPosition="0">
          <references count="1">
            <reference field="4294967294" count="1" selected="0">
              <x v="0"/>
            </reference>
          </references>
        </pivotArea>
      </autoSortScope>
    </pivotField>
    <pivotField showAll="0"/>
    <pivotField numFmtId="3" showAll="0"/>
    <pivotField numFmtId="165" showAll="0"/>
    <pivotField dataField="1" numFmtId="165" showAll="0"/>
    <pivotField numFmtId="165" showAll="0"/>
    <pivotField numFmtId="165" showAll="0"/>
    <pivotField showAll="0"/>
    <pivotField showAll="0"/>
  </pivotFields>
  <rowFields count="1">
    <field x="4"/>
  </rowFields>
  <rowItems count="11">
    <i>
      <x v="5"/>
    </i>
    <i>
      <x v="11"/>
    </i>
    <i>
      <x v="3"/>
    </i>
    <i>
      <x v="6"/>
    </i>
    <i>
      <x v="9"/>
    </i>
    <i>
      <x v="1"/>
    </i>
    <i>
      <x v="2"/>
    </i>
    <i>
      <x v="10"/>
    </i>
    <i>
      <x v="4"/>
    </i>
    <i>
      <x/>
    </i>
    <i t="grand">
      <x/>
    </i>
  </rowItems>
  <colItems count="1">
    <i/>
  </colItems>
  <dataFields count="1">
    <dataField name="Sum of Sales" fld="8" baseField="0" baseItem="0" numFmtId="166"/>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1A0005-3484-4E36-848F-6D117DEC2479}"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3:F26" firstHeaderRow="1" firstDataRow="1" firstDataCol="1"/>
  <pivotFields count="13">
    <pivotField showAll="0"/>
    <pivotField numFmtId="164" showAll="0"/>
    <pivotField showAll="0">
      <items count="5">
        <item x="3"/>
        <item x="2"/>
        <item x="0"/>
        <item x="1"/>
        <item t="default"/>
      </items>
    </pivotField>
    <pivotField showAll="0"/>
    <pivotField showAll="0"/>
    <pivotField showAll="0"/>
    <pivotField numFmtId="3" showAll="0"/>
    <pivotField numFmtId="165" showAll="0"/>
    <pivotField dataField="1" numFmtId="165" showAll="0"/>
    <pivotField numFmtId="165" showAll="0"/>
    <pivotField numFmtId="165" showAll="0"/>
    <pivotField axis="axisRow" showAll="0">
      <items count="3">
        <item x="0"/>
        <item x="1"/>
        <item t="default"/>
      </items>
    </pivotField>
    <pivotField axis="axisRow" showAll="0">
      <items count="13">
        <item x="1"/>
        <item x="10"/>
        <item x="9"/>
        <item x="3"/>
        <item x="4"/>
        <item x="5"/>
        <item x="8"/>
        <item x="7"/>
        <item x="11"/>
        <item x="6"/>
        <item x="2"/>
        <item x="0"/>
        <item t="default"/>
      </items>
    </pivotField>
  </pivotFields>
  <rowFields count="2">
    <field x="11"/>
    <field x="12"/>
  </rowFields>
  <rowItems count="23">
    <i>
      <x/>
    </i>
    <i r="1">
      <x/>
    </i>
    <i r="1">
      <x v="1"/>
    </i>
    <i r="1">
      <x v="2"/>
    </i>
    <i r="1">
      <x v="3"/>
    </i>
    <i r="1">
      <x v="4"/>
    </i>
    <i r="1">
      <x v="5"/>
    </i>
    <i r="1">
      <x v="6"/>
    </i>
    <i r="1">
      <x v="7"/>
    </i>
    <i r="1">
      <x v="8"/>
    </i>
    <i r="1">
      <x v="9"/>
    </i>
    <i r="1">
      <x v="10"/>
    </i>
    <i r="1">
      <x v="11"/>
    </i>
    <i>
      <x v="1"/>
    </i>
    <i r="1">
      <x/>
    </i>
    <i r="1">
      <x v="1"/>
    </i>
    <i r="1">
      <x v="2"/>
    </i>
    <i r="1">
      <x v="3"/>
    </i>
    <i r="1">
      <x v="4"/>
    </i>
    <i r="1">
      <x v="5"/>
    </i>
    <i r="1">
      <x v="6"/>
    </i>
    <i r="1">
      <x v="7"/>
    </i>
    <i t="grand">
      <x/>
    </i>
  </rowItems>
  <colItems count="1">
    <i/>
  </colItems>
  <dataFields count="1">
    <dataField name="Sum of Sales" fld="8" baseField="0" baseItem="0" numFmtId="166"/>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AE5482-D574-467F-8104-CD0231DCF641}"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13">
    <pivotField showAll="0"/>
    <pivotField numFmtId="164" showAll="0"/>
    <pivotField showAll="0">
      <items count="5">
        <item x="3"/>
        <item x="2"/>
        <item x="0"/>
        <item x="1"/>
        <item t="default"/>
      </items>
    </pivotField>
    <pivotField axis="axisRow" showAll="0">
      <items count="4">
        <item x="2"/>
        <item x="0"/>
        <item x="1"/>
        <item t="default"/>
      </items>
    </pivotField>
    <pivotField showAll="0"/>
    <pivotField showAll="0"/>
    <pivotField numFmtId="3" showAll="0"/>
    <pivotField numFmtId="165" showAll="0"/>
    <pivotField dataField="1" numFmtId="165" showAll="0"/>
    <pivotField numFmtId="165" showAll="0"/>
    <pivotField numFmtId="165" showAll="0"/>
    <pivotField showAll="0"/>
    <pivotField showAll="0"/>
  </pivotFields>
  <rowFields count="1">
    <field x="3"/>
  </rowFields>
  <rowItems count="4">
    <i>
      <x/>
    </i>
    <i>
      <x v="1"/>
    </i>
    <i>
      <x v="2"/>
    </i>
    <i t="grand">
      <x/>
    </i>
  </rowItems>
  <colItems count="1">
    <i/>
  </colItems>
  <dataFields count="1">
    <dataField name="Sum of Sales" fld="8" baseField="0" baseItem="0" numFmtId="165"/>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FE97523-C8C5-44F7-8639-7B18E740F2C6}" sourceName="Region">
  <pivotTables>
    <pivotTable tabId="3" name="PivotTable1"/>
    <pivotTable tabId="3" name="PivotTable3"/>
    <pivotTable tabId="3" name="PivotTable4"/>
    <pivotTable tabId="3" name="PivotTable6"/>
  </pivotTables>
  <data>
    <tabular pivotCacheId="606025132">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7F12032-832A-4B53-83FD-A547EE35965F}" sourceName="Category">
  <pivotTables>
    <pivotTable tabId="3" name="PivotTable1"/>
  </pivotTables>
  <data>
    <tabular pivotCacheId="60602513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E52823F-29F1-48CB-B883-355D12041F96}" cache="Slicer_Region" caption="Region" rowHeight="234950"/>
  <slicer name="Category" xr10:uid="{28083C10-56BD-4E82-B3F8-75E26FD23E75}"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M751" totalsRowShown="0">
  <tableColumns count="13">
    <tableColumn id="1" xr3:uid="{00000000-0010-0000-0000-000001000000}" name="Order ID"/>
    <tableColumn id="2" xr3:uid="{00000000-0010-0000-0000-000002000000}" name="Order Date"/>
    <tableColumn id="3" xr3:uid="{00000000-0010-0000-0000-000003000000}" name="Region"/>
    <tableColumn id="4" xr3:uid="{00000000-0010-0000-0000-000004000000}" name="Category"/>
    <tableColumn id="5" xr3:uid="{00000000-0010-0000-0000-000005000000}" name="Product"/>
    <tableColumn id="6" xr3:uid="{00000000-0010-0000-0000-000006000000}" name="Customer"/>
    <tableColumn id="7" xr3:uid="{00000000-0010-0000-0000-000007000000}" name="Quantity"/>
    <tableColumn id="8" xr3:uid="{00000000-0010-0000-0000-000008000000}" name="Unit Price"/>
    <tableColumn id="9" xr3:uid="{00000000-0010-0000-0000-000009000000}" name="Sales"/>
    <tableColumn id="10" xr3:uid="{00000000-0010-0000-0000-00000A000000}" name="Cost"/>
    <tableColumn id="11" xr3:uid="{00000000-0010-0000-0000-00000B000000}" name="Profit"/>
    <tableColumn id="12" xr3:uid="{00000000-0010-0000-0000-00000C000000}" name="Year"/>
    <tableColumn id="13" xr3:uid="{00000000-0010-0000-0000-00000D000000}" name="Month"/>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comments" Target="../comments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5" Type="http://schemas.openxmlformats.org/officeDocument/2006/relationships/printerSettings" Target="../printerSettings/printerSettings4.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2:F16"/>
  <sheetViews>
    <sheetView showGridLines="0" tabSelected="1" workbookViewId="0">
      <selection activeCell="B14" sqref="B14"/>
    </sheetView>
  </sheetViews>
  <sheetFormatPr defaultRowHeight="13.8"/>
  <cols>
    <col min="1" max="1" width="22" customWidth="1"/>
    <col min="2" max="2" width="76" customWidth="1"/>
  </cols>
  <sheetData>
    <row r="2" spans="1:6" ht="21">
      <c r="A2" s="12" t="s">
        <v>0</v>
      </c>
      <c r="B2" s="13"/>
      <c r="C2" s="13"/>
      <c r="D2" s="13"/>
      <c r="E2" s="13"/>
      <c r="F2" s="13"/>
    </row>
    <row r="3" spans="1:6">
      <c r="A3" s="14" t="s">
        <v>1</v>
      </c>
      <c r="B3" s="13"/>
      <c r="C3" s="13"/>
      <c r="D3" s="13"/>
      <c r="E3" s="13"/>
      <c r="F3" s="13"/>
    </row>
    <row r="5" spans="1:6">
      <c r="A5" s="1" t="s">
        <v>2</v>
      </c>
      <c r="B5" s="2" t="s">
        <v>3</v>
      </c>
    </row>
    <row r="6" spans="1:6" ht="34.049999999999997" customHeight="1">
      <c r="A6" s="3" t="s">
        <v>4</v>
      </c>
      <c r="B6" s="5" t="s">
        <v>5</v>
      </c>
    </row>
    <row r="7" spans="1:6" ht="34.049999999999997" customHeight="1">
      <c r="A7" s="3" t="s">
        <v>6</v>
      </c>
      <c r="B7" s="5" t="s">
        <v>7</v>
      </c>
    </row>
    <row r="8" spans="1:6" ht="34.049999999999997" customHeight="1">
      <c r="A8" s="3" t="s">
        <v>8</v>
      </c>
      <c r="B8" s="5" t="s">
        <v>9</v>
      </c>
    </row>
    <row r="9" spans="1:6" ht="34.049999999999997" customHeight="1">
      <c r="A9" s="3" t="s">
        <v>10</v>
      </c>
      <c r="B9" s="5" t="s">
        <v>11</v>
      </c>
    </row>
    <row r="10" spans="1:6" ht="34.049999999999997" customHeight="1">
      <c r="A10" s="4" t="s">
        <v>12</v>
      </c>
      <c r="B10" s="6" t="s">
        <v>13</v>
      </c>
    </row>
    <row r="16" spans="1:6" ht="20.399999999999999">
      <c r="A16" s="28"/>
    </row>
  </sheetData>
  <mergeCells count="2">
    <mergeCell ref="A2:F2"/>
    <mergeCell ref="A3:F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90093-51C7-4EAA-8854-073AC6B4E2C4}">
  <dimension ref="A1"/>
  <sheetViews>
    <sheetView showGridLines="0" workbookViewId="0"/>
  </sheetViews>
  <sheetFormatPr defaultRowHeight="13.8"/>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B9BD5"/>
  </sheetPr>
  <dimension ref="A1:M751"/>
  <sheetViews>
    <sheetView showGridLines="0" workbookViewId="0">
      <pane ySplit="1" topLeftCell="A2" activePane="bottomLeft" state="frozen"/>
      <selection pane="bottomLeft" activeCell="E2" sqref="E2"/>
    </sheetView>
  </sheetViews>
  <sheetFormatPr defaultRowHeight="13.8"/>
  <cols>
    <col min="1" max="1" width="14" customWidth="1"/>
    <col min="2" max="2" width="13" customWidth="1"/>
    <col min="3" max="6" width="18" customWidth="1"/>
    <col min="7" max="7" width="7.3984375" customWidth="1"/>
    <col min="8" max="8" width="8.3984375" customWidth="1"/>
    <col min="9" max="11" width="8" customWidth="1"/>
    <col min="12" max="13" width="11" customWidth="1"/>
  </cols>
  <sheetData>
    <row r="1" spans="1:13">
      <c r="A1" s="7" t="s">
        <v>14</v>
      </c>
      <c r="B1" s="7" t="s">
        <v>15</v>
      </c>
      <c r="C1" s="7" t="s">
        <v>16</v>
      </c>
      <c r="D1" s="7" t="s">
        <v>17</v>
      </c>
      <c r="E1" s="7" t="s">
        <v>18</v>
      </c>
      <c r="F1" s="7" t="s">
        <v>19</v>
      </c>
      <c r="G1" s="7" t="s">
        <v>20</v>
      </c>
      <c r="H1" s="7" t="s">
        <v>21</v>
      </c>
      <c r="I1" s="7" t="s">
        <v>22</v>
      </c>
      <c r="J1" s="7" t="s">
        <v>23</v>
      </c>
      <c r="K1" s="7" t="s">
        <v>24</v>
      </c>
      <c r="L1" s="7" t="s">
        <v>25</v>
      </c>
      <c r="M1" s="7" t="s">
        <v>26</v>
      </c>
    </row>
    <row r="2" spans="1:13">
      <c r="A2" s="8" t="s">
        <v>27</v>
      </c>
      <c r="B2" s="9">
        <v>46011</v>
      </c>
      <c r="C2" s="8" t="s">
        <v>28</v>
      </c>
      <c r="D2" s="8" t="s">
        <v>29</v>
      </c>
      <c r="E2" s="8" t="s">
        <v>30</v>
      </c>
      <c r="F2" s="8" t="s">
        <v>31</v>
      </c>
      <c r="G2" s="10">
        <v>2</v>
      </c>
      <c r="H2" s="11">
        <v>21.73</v>
      </c>
      <c r="I2" s="11">
        <v>43.46</v>
      </c>
      <c r="J2" s="11">
        <v>17.670000000000002</v>
      </c>
      <c r="K2" s="11">
        <v>25.79</v>
      </c>
      <c r="L2" s="8">
        <v>2025</v>
      </c>
      <c r="M2" s="8" t="s">
        <v>32</v>
      </c>
    </row>
    <row r="3" spans="1:13">
      <c r="A3" s="8" t="s">
        <v>33</v>
      </c>
      <c r="B3" s="9">
        <v>45663</v>
      </c>
      <c r="C3" s="8" t="s">
        <v>34</v>
      </c>
      <c r="D3" s="8" t="s">
        <v>29</v>
      </c>
      <c r="E3" s="8" t="s">
        <v>35</v>
      </c>
      <c r="F3" s="8" t="s">
        <v>31</v>
      </c>
      <c r="G3" s="10">
        <v>8</v>
      </c>
      <c r="H3" s="11">
        <v>50.94</v>
      </c>
      <c r="I3" s="11">
        <v>407.52</v>
      </c>
      <c r="J3" s="11">
        <v>181.38</v>
      </c>
      <c r="K3" s="11">
        <v>226.14</v>
      </c>
      <c r="L3" s="8">
        <v>2025</v>
      </c>
      <c r="M3" s="8" t="s">
        <v>36</v>
      </c>
    </row>
    <row r="4" spans="1:13">
      <c r="A4" s="8" t="s">
        <v>37</v>
      </c>
      <c r="B4" s="9">
        <v>45980</v>
      </c>
      <c r="C4" s="8" t="s">
        <v>34</v>
      </c>
      <c r="D4" s="8" t="s">
        <v>38</v>
      </c>
      <c r="E4" s="8" t="s">
        <v>39</v>
      </c>
      <c r="F4" s="8" t="s">
        <v>40</v>
      </c>
      <c r="G4" s="10">
        <v>1</v>
      </c>
      <c r="H4" s="11">
        <v>48.9</v>
      </c>
      <c r="I4" s="11">
        <v>48.9</v>
      </c>
      <c r="J4" s="11">
        <v>22</v>
      </c>
      <c r="K4" s="11">
        <v>26.9</v>
      </c>
      <c r="L4" s="8">
        <v>2025</v>
      </c>
      <c r="M4" s="8" t="s">
        <v>41</v>
      </c>
    </row>
    <row r="5" spans="1:13">
      <c r="A5" s="8" t="s">
        <v>42</v>
      </c>
      <c r="B5" s="9">
        <v>46140</v>
      </c>
      <c r="C5" s="8" t="s">
        <v>34</v>
      </c>
      <c r="D5" s="8" t="s">
        <v>43</v>
      </c>
      <c r="E5" s="8" t="s">
        <v>44</v>
      </c>
      <c r="F5" s="8" t="s">
        <v>45</v>
      </c>
      <c r="G5" s="10">
        <v>1</v>
      </c>
      <c r="H5" s="11">
        <v>370.7</v>
      </c>
      <c r="I5" s="11">
        <v>370.7</v>
      </c>
      <c r="J5" s="11">
        <v>243.67</v>
      </c>
      <c r="K5" s="11">
        <v>127.03</v>
      </c>
      <c r="L5" s="8">
        <v>2026</v>
      </c>
      <c r="M5" s="8" t="s">
        <v>46</v>
      </c>
    </row>
    <row r="6" spans="1:13">
      <c r="A6" s="8" t="s">
        <v>47</v>
      </c>
      <c r="B6" s="9">
        <v>45789</v>
      </c>
      <c r="C6" s="8" t="s">
        <v>34</v>
      </c>
      <c r="D6" s="8" t="s">
        <v>38</v>
      </c>
      <c r="E6" s="8" t="s">
        <v>48</v>
      </c>
      <c r="F6" s="8" t="s">
        <v>49</v>
      </c>
      <c r="G6" s="10">
        <v>5</v>
      </c>
      <c r="H6" s="11">
        <v>226.64</v>
      </c>
      <c r="I6" s="11">
        <v>1133.2</v>
      </c>
      <c r="J6" s="11">
        <v>772.26</v>
      </c>
      <c r="K6" s="11">
        <v>360.94</v>
      </c>
      <c r="L6" s="8">
        <v>2025</v>
      </c>
      <c r="M6" s="8" t="s">
        <v>50</v>
      </c>
    </row>
    <row r="7" spans="1:13">
      <c r="A7" s="8" t="s">
        <v>51</v>
      </c>
      <c r="B7" s="9">
        <v>45836</v>
      </c>
      <c r="C7" s="8" t="s">
        <v>52</v>
      </c>
      <c r="D7" s="8" t="s">
        <v>43</v>
      </c>
      <c r="E7" s="8" t="s">
        <v>44</v>
      </c>
      <c r="F7" s="8" t="s">
        <v>53</v>
      </c>
      <c r="G7" s="10">
        <v>3</v>
      </c>
      <c r="H7" s="11">
        <v>457.64</v>
      </c>
      <c r="I7" s="11">
        <v>1372.92</v>
      </c>
      <c r="J7" s="11">
        <v>846.03</v>
      </c>
      <c r="K7" s="11">
        <v>526.89</v>
      </c>
      <c r="L7" s="8">
        <v>2025</v>
      </c>
      <c r="M7" s="8" t="s">
        <v>54</v>
      </c>
    </row>
    <row r="8" spans="1:13">
      <c r="A8" s="8" t="s">
        <v>55</v>
      </c>
      <c r="B8" s="9">
        <v>45956</v>
      </c>
      <c r="C8" s="8" t="s">
        <v>56</v>
      </c>
      <c r="D8" s="8" t="s">
        <v>43</v>
      </c>
      <c r="E8" s="8" t="s">
        <v>57</v>
      </c>
      <c r="F8" s="8" t="s">
        <v>40</v>
      </c>
      <c r="G8" s="10">
        <v>2</v>
      </c>
      <c r="H8" s="11">
        <v>535.74</v>
      </c>
      <c r="I8" s="11">
        <v>1071.48</v>
      </c>
      <c r="J8" s="11">
        <v>682.4</v>
      </c>
      <c r="K8" s="11">
        <v>389.08</v>
      </c>
      <c r="L8" s="8">
        <v>2025</v>
      </c>
      <c r="M8" s="8" t="s">
        <v>58</v>
      </c>
    </row>
    <row r="9" spans="1:13">
      <c r="A9" s="8" t="s">
        <v>59</v>
      </c>
      <c r="B9" s="9">
        <v>46035</v>
      </c>
      <c r="C9" s="8" t="s">
        <v>56</v>
      </c>
      <c r="D9" s="8" t="s">
        <v>38</v>
      </c>
      <c r="E9" s="8" t="s">
        <v>48</v>
      </c>
      <c r="F9" s="8" t="s">
        <v>45</v>
      </c>
      <c r="G9" s="10">
        <v>3</v>
      </c>
      <c r="H9" s="11">
        <v>238.41</v>
      </c>
      <c r="I9" s="11">
        <v>715.23</v>
      </c>
      <c r="J9" s="11">
        <v>453.2</v>
      </c>
      <c r="K9" s="11">
        <v>262.02999999999997</v>
      </c>
      <c r="L9" s="8">
        <v>2026</v>
      </c>
      <c r="M9" s="8" t="s">
        <v>36</v>
      </c>
    </row>
    <row r="10" spans="1:13">
      <c r="A10" s="8" t="s">
        <v>60</v>
      </c>
      <c r="B10" s="9">
        <v>46252</v>
      </c>
      <c r="C10" s="8" t="s">
        <v>28</v>
      </c>
      <c r="D10" s="8" t="s">
        <v>38</v>
      </c>
      <c r="E10" s="8" t="s">
        <v>61</v>
      </c>
      <c r="F10" s="8" t="s">
        <v>31</v>
      </c>
      <c r="G10" s="10">
        <v>5</v>
      </c>
      <c r="H10" s="11">
        <v>932.93</v>
      </c>
      <c r="I10" s="11">
        <v>4664.6499999999996</v>
      </c>
      <c r="J10" s="11">
        <v>3365.81</v>
      </c>
      <c r="K10" s="11">
        <v>1298.8399999999999</v>
      </c>
      <c r="L10" s="8">
        <v>2026</v>
      </c>
      <c r="M10" s="8" t="s">
        <v>62</v>
      </c>
    </row>
    <row r="11" spans="1:13">
      <c r="A11" s="8" t="s">
        <v>63</v>
      </c>
      <c r="B11" s="9">
        <v>46177</v>
      </c>
      <c r="C11" s="8" t="s">
        <v>52</v>
      </c>
      <c r="D11" s="8" t="s">
        <v>29</v>
      </c>
      <c r="E11" s="8" t="s">
        <v>30</v>
      </c>
      <c r="F11" s="8" t="s">
        <v>53</v>
      </c>
      <c r="G11" s="10">
        <v>3</v>
      </c>
      <c r="H11" s="11">
        <v>26.94</v>
      </c>
      <c r="I11" s="11">
        <v>80.819999999999993</v>
      </c>
      <c r="J11" s="11">
        <v>34.86</v>
      </c>
      <c r="K11" s="11">
        <v>45.96</v>
      </c>
      <c r="L11" s="8">
        <v>2026</v>
      </c>
      <c r="M11" s="8" t="s">
        <v>54</v>
      </c>
    </row>
    <row r="12" spans="1:13">
      <c r="A12" s="8" t="s">
        <v>64</v>
      </c>
      <c r="B12" s="9">
        <v>46240</v>
      </c>
      <c r="C12" s="8" t="s">
        <v>28</v>
      </c>
      <c r="D12" s="8" t="s">
        <v>43</v>
      </c>
      <c r="E12" s="8" t="s">
        <v>65</v>
      </c>
      <c r="F12" s="8" t="s">
        <v>66</v>
      </c>
      <c r="G12" s="10">
        <v>4</v>
      </c>
      <c r="H12" s="11">
        <v>176.96</v>
      </c>
      <c r="I12" s="11">
        <v>707.84</v>
      </c>
      <c r="J12" s="11">
        <v>384.11</v>
      </c>
      <c r="K12" s="11">
        <v>323.73</v>
      </c>
      <c r="L12" s="8">
        <v>2026</v>
      </c>
      <c r="M12" s="8" t="s">
        <v>62</v>
      </c>
    </row>
    <row r="13" spans="1:13">
      <c r="A13" s="8" t="s">
        <v>67</v>
      </c>
      <c r="B13" s="9">
        <v>46041</v>
      </c>
      <c r="C13" s="8" t="s">
        <v>56</v>
      </c>
      <c r="D13" s="8" t="s">
        <v>38</v>
      </c>
      <c r="E13" s="8" t="s">
        <v>39</v>
      </c>
      <c r="F13" s="8" t="s">
        <v>40</v>
      </c>
      <c r="G13" s="10">
        <v>2</v>
      </c>
      <c r="H13" s="11">
        <v>54.1</v>
      </c>
      <c r="I13" s="11">
        <v>108.2</v>
      </c>
      <c r="J13" s="11">
        <v>50.42</v>
      </c>
      <c r="K13" s="11">
        <v>57.78</v>
      </c>
      <c r="L13" s="8">
        <v>2026</v>
      </c>
      <c r="M13" s="8" t="s">
        <v>36</v>
      </c>
    </row>
    <row r="14" spans="1:13">
      <c r="A14" s="8" t="s">
        <v>68</v>
      </c>
      <c r="B14" s="9">
        <v>46221</v>
      </c>
      <c r="C14" s="8" t="s">
        <v>56</v>
      </c>
      <c r="D14" s="8" t="s">
        <v>43</v>
      </c>
      <c r="E14" s="8" t="s">
        <v>65</v>
      </c>
      <c r="F14" s="8" t="s">
        <v>49</v>
      </c>
      <c r="G14" s="10">
        <v>4</v>
      </c>
      <c r="H14" s="11">
        <v>167.17</v>
      </c>
      <c r="I14" s="11">
        <v>668.68</v>
      </c>
      <c r="J14" s="11">
        <v>390.27</v>
      </c>
      <c r="K14" s="11">
        <v>278.41000000000003</v>
      </c>
      <c r="L14" s="8">
        <v>2026</v>
      </c>
      <c r="M14" s="8" t="s">
        <v>69</v>
      </c>
    </row>
    <row r="15" spans="1:13">
      <c r="A15" s="8" t="s">
        <v>70</v>
      </c>
      <c r="B15" s="9">
        <v>45790</v>
      </c>
      <c r="C15" s="8" t="s">
        <v>34</v>
      </c>
      <c r="D15" s="8" t="s">
        <v>29</v>
      </c>
      <c r="E15" s="8" t="s">
        <v>35</v>
      </c>
      <c r="F15" s="8" t="s">
        <v>45</v>
      </c>
      <c r="G15" s="10">
        <v>8</v>
      </c>
      <c r="H15" s="11">
        <v>45.87</v>
      </c>
      <c r="I15" s="11">
        <v>366.96</v>
      </c>
      <c r="J15" s="11">
        <v>180.92</v>
      </c>
      <c r="K15" s="11">
        <v>186.04</v>
      </c>
      <c r="L15" s="8">
        <v>2025</v>
      </c>
      <c r="M15" s="8" t="s">
        <v>50</v>
      </c>
    </row>
    <row r="16" spans="1:13">
      <c r="A16" s="8" t="s">
        <v>71</v>
      </c>
      <c r="B16" s="9">
        <v>45811</v>
      </c>
      <c r="C16" s="8" t="s">
        <v>28</v>
      </c>
      <c r="D16" s="8" t="s">
        <v>29</v>
      </c>
      <c r="E16" s="8" t="s">
        <v>30</v>
      </c>
      <c r="F16" s="8" t="s">
        <v>49</v>
      </c>
      <c r="G16" s="10">
        <v>9</v>
      </c>
      <c r="H16" s="11">
        <v>27.19</v>
      </c>
      <c r="I16" s="11">
        <v>244.71</v>
      </c>
      <c r="J16" s="11">
        <v>111.21</v>
      </c>
      <c r="K16" s="11">
        <v>133.5</v>
      </c>
      <c r="L16" s="8">
        <v>2025</v>
      </c>
      <c r="M16" s="8" t="s">
        <v>54</v>
      </c>
    </row>
    <row r="17" spans="1:13">
      <c r="A17" s="8" t="s">
        <v>72</v>
      </c>
      <c r="B17" s="9">
        <v>46224</v>
      </c>
      <c r="C17" s="8" t="s">
        <v>52</v>
      </c>
      <c r="D17" s="8" t="s">
        <v>29</v>
      </c>
      <c r="E17" s="8" t="s">
        <v>30</v>
      </c>
      <c r="F17" s="8" t="s">
        <v>45</v>
      </c>
      <c r="G17" s="10">
        <v>9</v>
      </c>
      <c r="H17" s="11">
        <v>26.09</v>
      </c>
      <c r="I17" s="11">
        <v>234.81</v>
      </c>
      <c r="J17" s="11">
        <v>99.63</v>
      </c>
      <c r="K17" s="11">
        <v>135.18</v>
      </c>
      <c r="L17" s="8">
        <v>2026</v>
      </c>
      <c r="M17" s="8" t="s">
        <v>69</v>
      </c>
    </row>
    <row r="18" spans="1:13">
      <c r="A18" s="8" t="s">
        <v>73</v>
      </c>
      <c r="B18" s="9">
        <v>45854</v>
      </c>
      <c r="C18" s="8" t="s">
        <v>28</v>
      </c>
      <c r="D18" s="8" t="s">
        <v>29</v>
      </c>
      <c r="E18" s="8" t="s">
        <v>30</v>
      </c>
      <c r="F18" s="8" t="s">
        <v>74</v>
      </c>
      <c r="G18" s="10">
        <v>10</v>
      </c>
      <c r="H18" s="11">
        <v>24.13</v>
      </c>
      <c r="I18" s="11">
        <v>241.3</v>
      </c>
      <c r="J18" s="11">
        <v>97.6</v>
      </c>
      <c r="K18" s="11">
        <v>143.69999999999999</v>
      </c>
      <c r="L18" s="8">
        <v>2025</v>
      </c>
      <c r="M18" s="8" t="s">
        <v>69</v>
      </c>
    </row>
    <row r="19" spans="1:13">
      <c r="A19" s="8" t="s">
        <v>75</v>
      </c>
      <c r="B19" s="9">
        <v>45746</v>
      </c>
      <c r="C19" s="8" t="s">
        <v>56</v>
      </c>
      <c r="D19" s="8" t="s">
        <v>29</v>
      </c>
      <c r="E19" s="8" t="s">
        <v>76</v>
      </c>
      <c r="F19" s="8" t="s">
        <v>40</v>
      </c>
      <c r="G19" s="10">
        <v>2</v>
      </c>
      <c r="H19" s="11">
        <v>10.99</v>
      </c>
      <c r="I19" s="11">
        <v>21.98</v>
      </c>
      <c r="J19" s="11">
        <v>8.06</v>
      </c>
      <c r="K19" s="11">
        <v>13.92</v>
      </c>
      <c r="L19" s="8">
        <v>2025</v>
      </c>
      <c r="M19" s="8" t="s">
        <v>77</v>
      </c>
    </row>
    <row r="20" spans="1:13">
      <c r="A20" s="8" t="s">
        <v>78</v>
      </c>
      <c r="B20" s="9">
        <v>45745</v>
      </c>
      <c r="C20" s="8" t="s">
        <v>28</v>
      </c>
      <c r="D20" s="8" t="s">
        <v>38</v>
      </c>
      <c r="E20" s="8" t="s">
        <v>61</v>
      </c>
      <c r="F20" s="8" t="s">
        <v>40</v>
      </c>
      <c r="G20" s="10">
        <v>3</v>
      </c>
      <c r="H20" s="11">
        <v>858.43</v>
      </c>
      <c r="I20" s="11">
        <v>2575.29</v>
      </c>
      <c r="J20" s="11">
        <v>1993.32</v>
      </c>
      <c r="K20" s="11">
        <v>581.97</v>
      </c>
      <c r="L20" s="8">
        <v>2025</v>
      </c>
      <c r="M20" s="8" t="s">
        <v>77</v>
      </c>
    </row>
    <row r="21" spans="1:13">
      <c r="A21" s="8" t="s">
        <v>79</v>
      </c>
      <c r="B21" s="9">
        <v>45718</v>
      </c>
      <c r="C21" s="8" t="s">
        <v>28</v>
      </c>
      <c r="D21" s="8" t="s">
        <v>29</v>
      </c>
      <c r="E21" s="8" t="s">
        <v>76</v>
      </c>
      <c r="F21" s="8" t="s">
        <v>45</v>
      </c>
      <c r="G21" s="10">
        <v>7</v>
      </c>
      <c r="H21" s="11">
        <v>11.97</v>
      </c>
      <c r="I21" s="11">
        <v>83.79</v>
      </c>
      <c r="J21" s="11">
        <v>29.08</v>
      </c>
      <c r="K21" s="11">
        <v>54.71</v>
      </c>
      <c r="L21" s="8">
        <v>2025</v>
      </c>
      <c r="M21" s="8" t="s">
        <v>77</v>
      </c>
    </row>
    <row r="22" spans="1:13">
      <c r="A22" s="8" t="s">
        <v>80</v>
      </c>
      <c r="B22" s="9">
        <v>46258</v>
      </c>
      <c r="C22" s="8" t="s">
        <v>56</v>
      </c>
      <c r="D22" s="8" t="s">
        <v>38</v>
      </c>
      <c r="E22" s="8" t="s">
        <v>48</v>
      </c>
      <c r="F22" s="8" t="s">
        <v>53</v>
      </c>
      <c r="G22" s="10">
        <v>5</v>
      </c>
      <c r="H22" s="11">
        <v>215.34</v>
      </c>
      <c r="I22" s="11">
        <v>1076.7</v>
      </c>
      <c r="J22" s="11">
        <v>735.95</v>
      </c>
      <c r="K22" s="11">
        <v>340.75</v>
      </c>
      <c r="L22" s="8">
        <v>2026</v>
      </c>
      <c r="M22" s="8" t="s">
        <v>62</v>
      </c>
    </row>
    <row r="23" spans="1:13">
      <c r="A23" s="8" t="s">
        <v>81</v>
      </c>
      <c r="B23" s="9">
        <v>45667</v>
      </c>
      <c r="C23" s="8" t="s">
        <v>56</v>
      </c>
      <c r="D23" s="8" t="s">
        <v>29</v>
      </c>
      <c r="E23" s="8" t="s">
        <v>76</v>
      </c>
      <c r="F23" s="8" t="s">
        <v>49</v>
      </c>
      <c r="G23" s="10">
        <v>5</v>
      </c>
      <c r="H23" s="11">
        <v>11.84</v>
      </c>
      <c r="I23" s="11">
        <v>59.2</v>
      </c>
      <c r="J23" s="11">
        <v>19.39</v>
      </c>
      <c r="K23" s="11">
        <v>39.81</v>
      </c>
      <c r="L23" s="8">
        <v>2025</v>
      </c>
      <c r="M23" s="8" t="s">
        <v>36</v>
      </c>
    </row>
    <row r="24" spans="1:13">
      <c r="A24" s="8" t="s">
        <v>82</v>
      </c>
      <c r="B24" s="9">
        <v>45690</v>
      </c>
      <c r="C24" s="8" t="s">
        <v>28</v>
      </c>
      <c r="D24" s="8" t="s">
        <v>43</v>
      </c>
      <c r="E24" s="8" t="s">
        <v>57</v>
      </c>
      <c r="F24" s="8" t="s">
        <v>31</v>
      </c>
      <c r="G24" s="10">
        <v>4</v>
      </c>
      <c r="H24" s="11">
        <v>451.37</v>
      </c>
      <c r="I24" s="11">
        <v>1805.48</v>
      </c>
      <c r="J24" s="11">
        <v>1168.24</v>
      </c>
      <c r="K24" s="11">
        <v>637.24</v>
      </c>
      <c r="L24" s="8">
        <v>2025</v>
      </c>
      <c r="M24" s="8" t="s">
        <v>83</v>
      </c>
    </row>
    <row r="25" spans="1:13">
      <c r="A25" s="8" t="s">
        <v>84</v>
      </c>
      <c r="B25" s="9">
        <v>45870</v>
      </c>
      <c r="C25" s="8" t="s">
        <v>56</v>
      </c>
      <c r="D25" s="8" t="s">
        <v>43</v>
      </c>
      <c r="E25" s="8" t="s">
        <v>57</v>
      </c>
      <c r="F25" s="8" t="s">
        <v>85</v>
      </c>
      <c r="G25" s="10">
        <v>1</v>
      </c>
      <c r="H25" s="11">
        <v>561.61</v>
      </c>
      <c r="I25" s="11">
        <v>561.61</v>
      </c>
      <c r="J25" s="11">
        <v>377.64</v>
      </c>
      <c r="K25" s="11">
        <v>183.97</v>
      </c>
      <c r="L25" s="8">
        <v>2025</v>
      </c>
      <c r="M25" s="8" t="s">
        <v>62</v>
      </c>
    </row>
    <row r="26" spans="1:13">
      <c r="A26" s="8" t="s">
        <v>86</v>
      </c>
      <c r="B26" s="9">
        <v>46067</v>
      </c>
      <c r="C26" s="8" t="s">
        <v>34</v>
      </c>
      <c r="D26" s="8" t="s">
        <v>38</v>
      </c>
      <c r="E26" s="8" t="s">
        <v>61</v>
      </c>
      <c r="F26" s="8" t="s">
        <v>85</v>
      </c>
      <c r="G26" s="10">
        <v>5</v>
      </c>
      <c r="H26" s="11">
        <v>1040.81</v>
      </c>
      <c r="I26" s="11">
        <v>5204.05</v>
      </c>
      <c r="J26" s="11">
        <v>4001.38</v>
      </c>
      <c r="K26" s="11">
        <v>1202.67</v>
      </c>
      <c r="L26" s="8">
        <v>2026</v>
      </c>
      <c r="M26" s="8" t="s">
        <v>83</v>
      </c>
    </row>
    <row r="27" spans="1:13">
      <c r="A27" s="8" t="s">
        <v>87</v>
      </c>
      <c r="B27" s="9">
        <v>45991</v>
      </c>
      <c r="C27" s="8" t="s">
        <v>56</v>
      </c>
      <c r="D27" s="8" t="s">
        <v>43</v>
      </c>
      <c r="E27" s="8" t="s">
        <v>57</v>
      </c>
      <c r="F27" s="8" t="s">
        <v>85</v>
      </c>
      <c r="G27" s="10">
        <v>4</v>
      </c>
      <c r="H27" s="11">
        <v>478.28</v>
      </c>
      <c r="I27" s="11">
        <v>1913.12</v>
      </c>
      <c r="J27" s="11">
        <v>1175.58</v>
      </c>
      <c r="K27" s="11">
        <v>737.54</v>
      </c>
      <c r="L27" s="8">
        <v>2025</v>
      </c>
      <c r="M27" s="8" t="s">
        <v>41</v>
      </c>
    </row>
    <row r="28" spans="1:13">
      <c r="A28" s="8" t="s">
        <v>88</v>
      </c>
      <c r="B28" s="9">
        <v>46242</v>
      </c>
      <c r="C28" s="8" t="s">
        <v>34</v>
      </c>
      <c r="D28" s="8" t="s">
        <v>29</v>
      </c>
      <c r="E28" s="8" t="s">
        <v>35</v>
      </c>
      <c r="F28" s="8" t="s">
        <v>49</v>
      </c>
      <c r="G28" s="10">
        <v>10</v>
      </c>
      <c r="H28" s="11">
        <v>47.61</v>
      </c>
      <c r="I28" s="11">
        <v>476.1</v>
      </c>
      <c r="J28" s="11">
        <v>232.27</v>
      </c>
      <c r="K28" s="11">
        <v>243.83</v>
      </c>
      <c r="L28" s="8">
        <v>2026</v>
      </c>
      <c r="M28" s="8" t="s">
        <v>62</v>
      </c>
    </row>
    <row r="29" spans="1:13">
      <c r="A29" s="8" t="s">
        <v>89</v>
      </c>
      <c r="B29" s="9">
        <v>46074</v>
      </c>
      <c r="C29" s="8" t="s">
        <v>56</v>
      </c>
      <c r="D29" s="8" t="s">
        <v>38</v>
      </c>
      <c r="E29" s="8" t="s">
        <v>61</v>
      </c>
      <c r="F29" s="8" t="s">
        <v>53</v>
      </c>
      <c r="G29" s="10">
        <v>5</v>
      </c>
      <c r="H29" s="11">
        <v>871.41</v>
      </c>
      <c r="I29" s="11">
        <v>4357.05</v>
      </c>
      <c r="J29" s="11">
        <v>3449.7</v>
      </c>
      <c r="K29" s="11">
        <v>907.35</v>
      </c>
      <c r="L29" s="8">
        <v>2026</v>
      </c>
      <c r="M29" s="8" t="s">
        <v>83</v>
      </c>
    </row>
    <row r="30" spans="1:13">
      <c r="A30" s="8" t="s">
        <v>90</v>
      </c>
      <c r="B30" s="9">
        <v>46044</v>
      </c>
      <c r="C30" s="8" t="s">
        <v>34</v>
      </c>
      <c r="D30" s="8" t="s">
        <v>38</v>
      </c>
      <c r="E30" s="8" t="s">
        <v>48</v>
      </c>
      <c r="F30" s="8" t="s">
        <v>31</v>
      </c>
      <c r="G30" s="10">
        <v>1</v>
      </c>
      <c r="H30" s="11">
        <v>181.95</v>
      </c>
      <c r="I30" s="11">
        <v>181.95</v>
      </c>
      <c r="J30" s="11">
        <v>113.79</v>
      </c>
      <c r="K30" s="11">
        <v>68.16</v>
      </c>
      <c r="L30" s="8">
        <v>2026</v>
      </c>
      <c r="M30" s="8" t="s">
        <v>36</v>
      </c>
    </row>
    <row r="31" spans="1:13">
      <c r="A31" s="8" t="s">
        <v>91</v>
      </c>
      <c r="B31" s="9">
        <v>45775</v>
      </c>
      <c r="C31" s="8" t="s">
        <v>56</v>
      </c>
      <c r="D31" s="8" t="s">
        <v>38</v>
      </c>
      <c r="E31" s="8" t="s">
        <v>61</v>
      </c>
      <c r="F31" s="8" t="s">
        <v>40</v>
      </c>
      <c r="G31" s="10">
        <v>3</v>
      </c>
      <c r="H31" s="11">
        <v>845.92</v>
      </c>
      <c r="I31" s="11">
        <v>2537.7600000000002</v>
      </c>
      <c r="J31" s="11">
        <v>1845.65</v>
      </c>
      <c r="K31" s="11">
        <v>692.11</v>
      </c>
      <c r="L31" s="8">
        <v>2025</v>
      </c>
      <c r="M31" s="8" t="s">
        <v>46</v>
      </c>
    </row>
    <row r="32" spans="1:13">
      <c r="A32" s="8" t="s">
        <v>92</v>
      </c>
      <c r="B32" s="9">
        <v>45843</v>
      </c>
      <c r="C32" s="8" t="s">
        <v>56</v>
      </c>
      <c r="D32" s="8" t="s">
        <v>38</v>
      </c>
      <c r="E32" s="8" t="s">
        <v>61</v>
      </c>
      <c r="F32" s="8" t="s">
        <v>53</v>
      </c>
      <c r="G32" s="10">
        <v>4</v>
      </c>
      <c r="H32" s="11">
        <v>841.53</v>
      </c>
      <c r="I32" s="11">
        <v>3366.12</v>
      </c>
      <c r="J32" s="11">
        <v>2550.6</v>
      </c>
      <c r="K32" s="11">
        <v>815.52</v>
      </c>
      <c r="L32" s="8">
        <v>2025</v>
      </c>
      <c r="M32" s="8" t="s">
        <v>69</v>
      </c>
    </row>
    <row r="33" spans="1:13">
      <c r="A33" s="8" t="s">
        <v>93</v>
      </c>
      <c r="B33" s="9">
        <v>45662</v>
      </c>
      <c r="C33" s="8" t="s">
        <v>28</v>
      </c>
      <c r="D33" s="8" t="s">
        <v>43</v>
      </c>
      <c r="E33" s="8" t="s">
        <v>94</v>
      </c>
      <c r="F33" s="8" t="s">
        <v>53</v>
      </c>
      <c r="G33" s="10">
        <v>1</v>
      </c>
      <c r="H33" s="11">
        <v>296.87</v>
      </c>
      <c r="I33" s="11">
        <v>296.87</v>
      </c>
      <c r="J33" s="11">
        <v>184.13</v>
      </c>
      <c r="K33" s="11">
        <v>112.74</v>
      </c>
      <c r="L33" s="8">
        <v>2025</v>
      </c>
      <c r="M33" s="8" t="s">
        <v>36</v>
      </c>
    </row>
    <row r="34" spans="1:13">
      <c r="A34" s="8" t="s">
        <v>95</v>
      </c>
      <c r="B34" s="9">
        <v>46156</v>
      </c>
      <c r="C34" s="8" t="s">
        <v>52</v>
      </c>
      <c r="D34" s="8" t="s">
        <v>43</v>
      </c>
      <c r="E34" s="8" t="s">
        <v>94</v>
      </c>
      <c r="F34" s="8" t="s">
        <v>40</v>
      </c>
      <c r="G34" s="10">
        <v>3</v>
      </c>
      <c r="H34" s="11">
        <v>278.10000000000002</v>
      </c>
      <c r="I34" s="11">
        <v>834.3</v>
      </c>
      <c r="J34" s="11">
        <v>494.7</v>
      </c>
      <c r="K34" s="11">
        <v>339.6</v>
      </c>
      <c r="L34" s="8">
        <v>2026</v>
      </c>
      <c r="M34" s="8" t="s">
        <v>50</v>
      </c>
    </row>
    <row r="35" spans="1:13">
      <c r="A35" s="8" t="s">
        <v>96</v>
      </c>
      <c r="B35" s="9">
        <v>46151</v>
      </c>
      <c r="C35" s="8" t="s">
        <v>52</v>
      </c>
      <c r="D35" s="8" t="s">
        <v>43</v>
      </c>
      <c r="E35" s="8" t="s">
        <v>44</v>
      </c>
      <c r="F35" s="8" t="s">
        <v>40</v>
      </c>
      <c r="G35" s="10">
        <v>2</v>
      </c>
      <c r="H35" s="11">
        <v>392.53</v>
      </c>
      <c r="I35" s="11">
        <v>785.06</v>
      </c>
      <c r="J35" s="11">
        <v>516.48</v>
      </c>
      <c r="K35" s="11">
        <v>268.58</v>
      </c>
      <c r="L35" s="8">
        <v>2026</v>
      </c>
      <c r="M35" s="8" t="s">
        <v>50</v>
      </c>
    </row>
    <row r="36" spans="1:13">
      <c r="A36" s="8" t="s">
        <v>97</v>
      </c>
      <c r="B36" s="9">
        <v>45915</v>
      </c>
      <c r="C36" s="8" t="s">
        <v>52</v>
      </c>
      <c r="D36" s="8" t="s">
        <v>29</v>
      </c>
      <c r="E36" s="8" t="s">
        <v>35</v>
      </c>
      <c r="F36" s="8" t="s">
        <v>85</v>
      </c>
      <c r="G36" s="10">
        <v>10</v>
      </c>
      <c r="H36" s="11">
        <v>48.88</v>
      </c>
      <c r="I36" s="11">
        <v>488.8</v>
      </c>
      <c r="J36" s="11">
        <v>213.13</v>
      </c>
      <c r="K36" s="11">
        <v>275.67</v>
      </c>
      <c r="L36" s="8">
        <v>2025</v>
      </c>
      <c r="M36" s="8" t="s">
        <v>98</v>
      </c>
    </row>
    <row r="37" spans="1:13">
      <c r="A37" s="8" t="s">
        <v>99</v>
      </c>
      <c r="B37" s="9">
        <v>45903</v>
      </c>
      <c r="C37" s="8" t="s">
        <v>52</v>
      </c>
      <c r="D37" s="8" t="s">
        <v>29</v>
      </c>
      <c r="E37" s="8" t="s">
        <v>76</v>
      </c>
      <c r="F37" s="8" t="s">
        <v>40</v>
      </c>
      <c r="G37" s="10">
        <v>11</v>
      </c>
      <c r="H37" s="11">
        <v>10.81</v>
      </c>
      <c r="I37" s="11">
        <v>118.91</v>
      </c>
      <c r="J37" s="11">
        <v>42.54</v>
      </c>
      <c r="K37" s="11">
        <v>76.37</v>
      </c>
      <c r="L37" s="8">
        <v>2025</v>
      </c>
      <c r="M37" s="8" t="s">
        <v>98</v>
      </c>
    </row>
    <row r="38" spans="1:13">
      <c r="A38" s="8" t="s">
        <v>100</v>
      </c>
      <c r="B38" s="9">
        <v>45856</v>
      </c>
      <c r="C38" s="8" t="s">
        <v>34</v>
      </c>
      <c r="D38" s="8" t="s">
        <v>29</v>
      </c>
      <c r="E38" s="8" t="s">
        <v>30</v>
      </c>
      <c r="F38" s="8" t="s">
        <v>74</v>
      </c>
      <c r="G38" s="10">
        <v>6</v>
      </c>
      <c r="H38" s="11">
        <v>21.56</v>
      </c>
      <c r="I38" s="11">
        <v>129.36000000000001</v>
      </c>
      <c r="J38" s="11">
        <v>51.1</v>
      </c>
      <c r="K38" s="11">
        <v>78.260000000000005</v>
      </c>
      <c r="L38" s="8">
        <v>2025</v>
      </c>
      <c r="M38" s="8" t="s">
        <v>69</v>
      </c>
    </row>
    <row r="39" spans="1:13">
      <c r="A39" s="8" t="s">
        <v>101</v>
      </c>
      <c r="B39" s="9">
        <v>45970</v>
      </c>
      <c r="C39" s="8" t="s">
        <v>34</v>
      </c>
      <c r="D39" s="8" t="s">
        <v>43</v>
      </c>
      <c r="E39" s="8" t="s">
        <v>44</v>
      </c>
      <c r="F39" s="8" t="s">
        <v>45</v>
      </c>
      <c r="G39" s="10">
        <v>5</v>
      </c>
      <c r="H39" s="11">
        <v>478.49</v>
      </c>
      <c r="I39" s="11">
        <v>2392.4499999999998</v>
      </c>
      <c r="J39" s="11">
        <v>1519.37</v>
      </c>
      <c r="K39" s="11">
        <v>873.08</v>
      </c>
      <c r="L39" s="8">
        <v>2025</v>
      </c>
      <c r="M39" s="8" t="s">
        <v>41</v>
      </c>
    </row>
    <row r="40" spans="1:13">
      <c r="A40" s="8" t="s">
        <v>102</v>
      </c>
      <c r="B40" s="9">
        <v>45871</v>
      </c>
      <c r="C40" s="8" t="s">
        <v>52</v>
      </c>
      <c r="D40" s="8" t="s">
        <v>29</v>
      </c>
      <c r="E40" s="8" t="s">
        <v>76</v>
      </c>
      <c r="F40" s="8" t="s">
        <v>85</v>
      </c>
      <c r="G40" s="10">
        <v>4</v>
      </c>
      <c r="H40" s="11">
        <v>11.26</v>
      </c>
      <c r="I40" s="11">
        <v>45.04</v>
      </c>
      <c r="J40" s="11">
        <v>16.32</v>
      </c>
      <c r="K40" s="11">
        <v>28.72</v>
      </c>
      <c r="L40" s="8">
        <v>2025</v>
      </c>
      <c r="M40" s="8" t="s">
        <v>62</v>
      </c>
    </row>
    <row r="41" spans="1:13">
      <c r="A41" s="8" t="s">
        <v>103</v>
      </c>
      <c r="B41" s="9">
        <v>45727</v>
      </c>
      <c r="C41" s="8" t="s">
        <v>34</v>
      </c>
      <c r="D41" s="8" t="s">
        <v>43</v>
      </c>
      <c r="E41" s="8" t="s">
        <v>94</v>
      </c>
      <c r="F41" s="8" t="s">
        <v>40</v>
      </c>
      <c r="G41" s="10">
        <v>3</v>
      </c>
      <c r="H41" s="11">
        <v>264.83999999999997</v>
      </c>
      <c r="I41" s="11">
        <v>794.52</v>
      </c>
      <c r="J41" s="11">
        <v>439.91</v>
      </c>
      <c r="K41" s="11">
        <v>354.61</v>
      </c>
      <c r="L41" s="8">
        <v>2025</v>
      </c>
      <c r="M41" s="8" t="s">
        <v>77</v>
      </c>
    </row>
    <row r="42" spans="1:13">
      <c r="A42" s="8" t="s">
        <v>104</v>
      </c>
      <c r="B42" s="9">
        <v>45709</v>
      </c>
      <c r="C42" s="8" t="s">
        <v>52</v>
      </c>
      <c r="D42" s="8" t="s">
        <v>29</v>
      </c>
      <c r="E42" s="8" t="s">
        <v>30</v>
      </c>
      <c r="F42" s="8" t="s">
        <v>45</v>
      </c>
      <c r="G42" s="10">
        <v>5</v>
      </c>
      <c r="H42" s="11">
        <v>24.99</v>
      </c>
      <c r="I42" s="11">
        <v>124.95</v>
      </c>
      <c r="J42" s="11">
        <v>56.78</v>
      </c>
      <c r="K42" s="11">
        <v>68.17</v>
      </c>
      <c r="L42" s="8">
        <v>2025</v>
      </c>
      <c r="M42" s="8" t="s">
        <v>83</v>
      </c>
    </row>
    <row r="43" spans="1:13">
      <c r="A43" s="8" t="s">
        <v>105</v>
      </c>
      <c r="B43" s="9">
        <v>46115</v>
      </c>
      <c r="C43" s="8" t="s">
        <v>34</v>
      </c>
      <c r="D43" s="8" t="s">
        <v>43</v>
      </c>
      <c r="E43" s="8" t="s">
        <v>44</v>
      </c>
      <c r="F43" s="8" t="s">
        <v>53</v>
      </c>
      <c r="G43" s="10">
        <v>3</v>
      </c>
      <c r="H43" s="11">
        <v>461</v>
      </c>
      <c r="I43" s="11">
        <v>1383</v>
      </c>
      <c r="J43" s="11">
        <v>868.31</v>
      </c>
      <c r="K43" s="11">
        <v>514.69000000000005</v>
      </c>
      <c r="L43" s="8">
        <v>2026</v>
      </c>
      <c r="M43" s="8" t="s">
        <v>46</v>
      </c>
    </row>
    <row r="44" spans="1:13">
      <c r="A44" s="8" t="s">
        <v>106</v>
      </c>
      <c r="B44" s="9">
        <v>46255</v>
      </c>
      <c r="C44" s="8" t="s">
        <v>52</v>
      </c>
      <c r="D44" s="8" t="s">
        <v>29</v>
      </c>
      <c r="E44" s="8" t="s">
        <v>76</v>
      </c>
      <c r="F44" s="8" t="s">
        <v>74</v>
      </c>
      <c r="G44" s="10">
        <v>5</v>
      </c>
      <c r="H44" s="11">
        <v>11.17</v>
      </c>
      <c r="I44" s="11">
        <v>55.85</v>
      </c>
      <c r="J44" s="11">
        <v>18.399999999999999</v>
      </c>
      <c r="K44" s="11">
        <v>37.450000000000003</v>
      </c>
      <c r="L44" s="8">
        <v>2026</v>
      </c>
      <c r="M44" s="8" t="s">
        <v>62</v>
      </c>
    </row>
    <row r="45" spans="1:13">
      <c r="A45" s="8" t="s">
        <v>107</v>
      </c>
      <c r="B45" s="9">
        <v>46202</v>
      </c>
      <c r="C45" s="8" t="s">
        <v>34</v>
      </c>
      <c r="D45" s="8" t="s">
        <v>38</v>
      </c>
      <c r="E45" s="8" t="s">
        <v>39</v>
      </c>
      <c r="F45" s="8" t="s">
        <v>31</v>
      </c>
      <c r="G45" s="10">
        <v>3</v>
      </c>
      <c r="H45" s="11">
        <v>57.01</v>
      </c>
      <c r="I45" s="11">
        <v>171.03</v>
      </c>
      <c r="J45" s="11">
        <v>76.95</v>
      </c>
      <c r="K45" s="11">
        <v>94.08</v>
      </c>
      <c r="L45" s="8">
        <v>2026</v>
      </c>
      <c r="M45" s="8" t="s">
        <v>54</v>
      </c>
    </row>
    <row r="46" spans="1:13">
      <c r="A46" s="8" t="s">
        <v>108</v>
      </c>
      <c r="B46" s="9">
        <v>46218</v>
      </c>
      <c r="C46" s="8" t="s">
        <v>56</v>
      </c>
      <c r="D46" s="8" t="s">
        <v>29</v>
      </c>
      <c r="E46" s="8" t="s">
        <v>76</v>
      </c>
      <c r="F46" s="8" t="s">
        <v>74</v>
      </c>
      <c r="G46" s="10">
        <v>7</v>
      </c>
      <c r="H46" s="11">
        <v>11.54</v>
      </c>
      <c r="I46" s="11">
        <v>80.78</v>
      </c>
      <c r="J46" s="11">
        <v>27.22</v>
      </c>
      <c r="K46" s="11">
        <v>53.56</v>
      </c>
      <c r="L46" s="8">
        <v>2026</v>
      </c>
      <c r="M46" s="8" t="s">
        <v>69</v>
      </c>
    </row>
    <row r="47" spans="1:13">
      <c r="A47" s="8" t="s">
        <v>109</v>
      </c>
      <c r="B47" s="9">
        <v>45675</v>
      </c>
      <c r="C47" s="8" t="s">
        <v>56</v>
      </c>
      <c r="D47" s="8" t="s">
        <v>43</v>
      </c>
      <c r="E47" s="8" t="s">
        <v>57</v>
      </c>
      <c r="F47" s="8" t="s">
        <v>49</v>
      </c>
      <c r="G47" s="10">
        <v>5</v>
      </c>
      <c r="H47" s="11">
        <v>491.77</v>
      </c>
      <c r="I47" s="11">
        <v>2458.85</v>
      </c>
      <c r="J47" s="11">
        <v>1502.96</v>
      </c>
      <c r="K47" s="11">
        <v>955.89</v>
      </c>
      <c r="L47" s="8">
        <v>2025</v>
      </c>
      <c r="M47" s="8" t="s">
        <v>36</v>
      </c>
    </row>
    <row r="48" spans="1:13">
      <c r="A48" s="8" t="s">
        <v>110</v>
      </c>
      <c r="B48" s="9">
        <v>46229</v>
      </c>
      <c r="C48" s="8" t="s">
        <v>28</v>
      </c>
      <c r="D48" s="8" t="s">
        <v>43</v>
      </c>
      <c r="E48" s="8" t="s">
        <v>94</v>
      </c>
      <c r="F48" s="8" t="s">
        <v>53</v>
      </c>
      <c r="G48" s="10">
        <v>1</v>
      </c>
      <c r="H48" s="11">
        <v>297.39</v>
      </c>
      <c r="I48" s="11">
        <v>297.39</v>
      </c>
      <c r="J48" s="11">
        <v>164.64</v>
      </c>
      <c r="K48" s="11">
        <v>132.75</v>
      </c>
      <c r="L48" s="8">
        <v>2026</v>
      </c>
      <c r="M48" s="8" t="s">
        <v>69</v>
      </c>
    </row>
    <row r="49" spans="1:13">
      <c r="A49" s="8" t="s">
        <v>111</v>
      </c>
      <c r="B49" s="9">
        <v>46144</v>
      </c>
      <c r="C49" s="8" t="s">
        <v>52</v>
      </c>
      <c r="D49" s="8" t="s">
        <v>43</v>
      </c>
      <c r="E49" s="8" t="s">
        <v>65</v>
      </c>
      <c r="F49" s="8" t="s">
        <v>40</v>
      </c>
      <c r="G49" s="10">
        <v>4</v>
      </c>
      <c r="H49" s="11">
        <v>174.37</v>
      </c>
      <c r="I49" s="11">
        <v>697.48</v>
      </c>
      <c r="J49" s="11">
        <v>415.22</v>
      </c>
      <c r="K49" s="11">
        <v>282.26</v>
      </c>
      <c r="L49" s="8">
        <v>2026</v>
      </c>
      <c r="M49" s="8" t="s">
        <v>50</v>
      </c>
    </row>
    <row r="50" spans="1:13">
      <c r="A50" s="8" t="s">
        <v>112</v>
      </c>
      <c r="B50" s="9">
        <v>45906</v>
      </c>
      <c r="C50" s="8" t="s">
        <v>34</v>
      </c>
      <c r="D50" s="8" t="s">
        <v>43</v>
      </c>
      <c r="E50" s="8" t="s">
        <v>57</v>
      </c>
      <c r="F50" s="8" t="s">
        <v>53</v>
      </c>
      <c r="G50" s="10">
        <v>4</v>
      </c>
      <c r="H50" s="11">
        <v>502.66</v>
      </c>
      <c r="I50" s="11">
        <v>2010.64</v>
      </c>
      <c r="J50" s="11">
        <v>1287.6500000000001</v>
      </c>
      <c r="K50" s="11">
        <v>722.99</v>
      </c>
      <c r="L50" s="8">
        <v>2025</v>
      </c>
      <c r="M50" s="8" t="s">
        <v>98</v>
      </c>
    </row>
    <row r="51" spans="1:13">
      <c r="A51" s="8" t="s">
        <v>113</v>
      </c>
      <c r="B51" s="9">
        <v>46162</v>
      </c>
      <c r="C51" s="8" t="s">
        <v>52</v>
      </c>
      <c r="D51" s="8" t="s">
        <v>43</v>
      </c>
      <c r="E51" s="8" t="s">
        <v>65</v>
      </c>
      <c r="F51" s="8" t="s">
        <v>49</v>
      </c>
      <c r="G51" s="10">
        <v>2</v>
      </c>
      <c r="H51" s="11">
        <v>174.68</v>
      </c>
      <c r="I51" s="11">
        <v>349.36</v>
      </c>
      <c r="J51" s="11">
        <v>187.96</v>
      </c>
      <c r="K51" s="11">
        <v>161.4</v>
      </c>
      <c r="L51" s="8">
        <v>2026</v>
      </c>
      <c r="M51" s="8" t="s">
        <v>50</v>
      </c>
    </row>
    <row r="52" spans="1:13">
      <c r="A52" s="8" t="s">
        <v>114</v>
      </c>
      <c r="B52" s="9">
        <v>46054</v>
      </c>
      <c r="C52" s="8" t="s">
        <v>34</v>
      </c>
      <c r="D52" s="8" t="s">
        <v>43</v>
      </c>
      <c r="E52" s="8" t="s">
        <v>94</v>
      </c>
      <c r="F52" s="8" t="s">
        <v>40</v>
      </c>
      <c r="G52" s="10">
        <v>5</v>
      </c>
      <c r="H52" s="11">
        <v>244.27</v>
      </c>
      <c r="I52" s="11">
        <v>1221.3499999999999</v>
      </c>
      <c r="J52" s="11">
        <v>738.01</v>
      </c>
      <c r="K52" s="11">
        <v>483.34</v>
      </c>
      <c r="L52" s="8">
        <v>2026</v>
      </c>
      <c r="M52" s="8" t="s">
        <v>83</v>
      </c>
    </row>
    <row r="53" spans="1:13">
      <c r="A53" s="8" t="s">
        <v>115</v>
      </c>
      <c r="B53" s="9">
        <v>45991</v>
      </c>
      <c r="C53" s="8" t="s">
        <v>34</v>
      </c>
      <c r="D53" s="8" t="s">
        <v>29</v>
      </c>
      <c r="E53" s="8" t="s">
        <v>116</v>
      </c>
      <c r="F53" s="8" t="s">
        <v>31</v>
      </c>
      <c r="G53" s="10">
        <v>6</v>
      </c>
      <c r="H53" s="11">
        <v>17.71</v>
      </c>
      <c r="I53" s="11">
        <v>106.26</v>
      </c>
      <c r="J53" s="11">
        <v>44.16</v>
      </c>
      <c r="K53" s="11">
        <v>62.1</v>
      </c>
      <c r="L53" s="8">
        <v>2025</v>
      </c>
      <c r="M53" s="8" t="s">
        <v>41</v>
      </c>
    </row>
    <row r="54" spans="1:13">
      <c r="A54" s="8" t="s">
        <v>117</v>
      </c>
      <c r="B54" s="9">
        <v>45781</v>
      </c>
      <c r="C54" s="8" t="s">
        <v>34</v>
      </c>
      <c r="D54" s="8" t="s">
        <v>43</v>
      </c>
      <c r="E54" s="8" t="s">
        <v>65</v>
      </c>
      <c r="F54" s="8" t="s">
        <v>31</v>
      </c>
      <c r="G54" s="10">
        <v>1</v>
      </c>
      <c r="H54" s="11">
        <v>161.99</v>
      </c>
      <c r="I54" s="11">
        <v>161.99</v>
      </c>
      <c r="J54" s="11">
        <v>96.77</v>
      </c>
      <c r="K54" s="11">
        <v>65.22</v>
      </c>
      <c r="L54" s="8">
        <v>2025</v>
      </c>
      <c r="M54" s="8" t="s">
        <v>50</v>
      </c>
    </row>
    <row r="55" spans="1:13">
      <c r="A55" s="8" t="s">
        <v>118</v>
      </c>
      <c r="B55" s="9">
        <v>46059</v>
      </c>
      <c r="C55" s="8" t="s">
        <v>34</v>
      </c>
      <c r="D55" s="8" t="s">
        <v>38</v>
      </c>
      <c r="E55" s="8" t="s">
        <v>48</v>
      </c>
      <c r="F55" s="8" t="s">
        <v>53</v>
      </c>
      <c r="G55" s="10">
        <v>1</v>
      </c>
      <c r="H55" s="11">
        <v>200.06</v>
      </c>
      <c r="I55" s="11">
        <v>200.06</v>
      </c>
      <c r="J55" s="11">
        <v>134.07</v>
      </c>
      <c r="K55" s="11">
        <v>65.989999999999995</v>
      </c>
      <c r="L55" s="8">
        <v>2026</v>
      </c>
      <c r="M55" s="8" t="s">
        <v>83</v>
      </c>
    </row>
    <row r="56" spans="1:13">
      <c r="A56" s="8" t="s">
        <v>119</v>
      </c>
      <c r="B56" s="9">
        <v>45952</v>
      </c>
      <c r="C56" s="8" t="s">
        <v>56</v>
      </c>
      <c r="D56" s="8" t="s">
        <v>43</v>
      </c>
      <c r="E56" s="8" t="s">
        <v>44</v>
      </c>
      <c r="F56" s="8" t="s">
        <v>66</v>
      </c>
      <c r="G56" s="10">
        <v>2</v>
      </c>
      <c r="H56" s="11">
        <v>375.45</v>
      </c>
      <c r="I56" s="11">
        <v>750.9</v>
      </c>
      <c r="J56" s="11">
        <v>442.11</v>
      </c>
      <c r="K56" s="11">
        <v>308.79000000000002</v>
      </c>
      <c r="L56" s="8">
        <v>2025</v>
      </c>
      <c r="M56" s="8" t="s">
        <v>58</v>
      </c>
    </row>
    <row r="57" spans="1:13">
      <c r="A57" s="8" t="s">
        <v>120</v>
      </c>
      <c r="B57" s="9">
        <v>45685</v>
      </c>
      <c r="C57" s="8" t="s">
        <v>28</v>
      </c>
      <c r="D57" s="8" t="s">
        <v>43</v>
      </c>
      <c r="E57" s="8" t="s">
        <v>65</v>
      </c>
      <c r="F57" s="8" t="s">
        <v>66</v>
      </c>
      <c r="G57" s="10">
        <v>4</v>
      </c>
      <c r="H57" s="11">
        <v>186.23</v>
      </c>
      <c r="I57" s="11">
        <v>744.92</v>
      </c>
      <c r="J57" s="11">
        <v>404.02</v>
      </c>
      <c r="K57" s="11">
        <v>340.9</v>
      </c>
      <c r="L57" s="8">
        <v>2025</v>
      </c>
      <c r="M57" s="8" t="s">
        <v>36</v>
      </c>
    </row>
    <row r="58" spans="1:13">
      <c r="A58" s="8" t="s">
        <v>121</v>
      </c>
      <c r="B58" s="9">
        <v>46126</v>
      </c>
      <c r="C58" s="8" t="s">
        <v>56</v>
      </c>
      <c r="D58" s="8" t="s">
        <v>38</v>
      </c>
      <c r="E58" s="8" t="s">
        <v>48</v>
      </c>
      <c r="F58" s="8" t="s">
        <v>85</v>
      </c>
      <c r="G58" s="10">
        <v>4</v>
      </c>
      <c r="H58" s="11">
        <v>223.96</v>
      </c>
      <c r="I58" s="11">
        <v>895.84</v>
      </c>
      <c r="J58" s="11">
        <v>548.63</v>
      </c>
      <c r="K58" s="11">
        <v>347.21</v>
      </c>
      <c r="L58" s="8">
        <v>2026</v>
      </c>
      <c r="M58" s="8" t="s">
        <v>46</v>
      </c>
    </row>
    <row r="59" spans="1:13">
      <c r="A59" s="8" t="s">
        <v>122</v>
      </c>
      <c r="B59" s="9">
        <v>45813</v>
      </c>
      <c r="C59" s="8" t="s">
        <v>56</v>
      </c>
      <c r="D59" s="8" t="s">
        <v>38</v>
      </c>
      <c r="E59" s="8" t="s">
        <v>39</v>
      </c>
      <c r="F59" s="8" t="s">
        <v>53</v>
      </c>
      <c r="G59" s="10">
        <v>5</v>
      </c>
      <c r="H59" s="11">
        <v>51.72</v>
      </c>
      <c r="I59" s="11">
        <v>258.60000000000002</v>
      </c>
      <c r="J59" s="11">
        <v>119.95</v>
      </c>
      <c r="K59" s="11">
        <v>138.65</v>
      </c>
      <c r="L59" s="8">
        <v>2025</v>
      </c>
      <c r="M59" s="8" t="s">
        <v>54</v>
      </c>
    </row>
    <row r="60" spans="1:13">
      <c r="A60" s="8" t="s">
        <v>123</v>
      </c>
      <c r="B60" s="9">
        <v>46221</v>
      </c>
      <c r="C60" s="8" t="s">
        <v>52</v>
      </c>
      <c r="D60" s="8" t="s">
        <v>43</v>
      </c>
      <c r="E60" s="8" t="s">
        <v>44</v>
      </c>
      <c r="F60" s="8" t="s">
        <v>40</v>
      </c>
      <c r="G60" s="10">
        <v>5</v>
      </c>
      <c r="H60" s="11">
        <v>459.67</v>
      </c>
      <c r="I60" s="11">
        <v>2298.35</v>
      </c>
      <c r="J60" s="11">
        <v>1408.38</v>
      </c>
      <c r="K60" s="11">
        <v>889.97</v>
      </c>
      <c r="L60" s="8">
        <v>2026</v>
      </c>
      <c r="M60" s="8" t="s">
        <v>69</v>
      </c>
    </row>
    <row r="61" spans="1:13">
      <c r="A61" s="8" t="s">
        <v>124</v>
      </c>
      <c r="B61" s="9">
        <v>46088</v>
      </c>
      <c r="C61" s="8" t="s">
        <v>52</v>
      </c>
      <c r="D61" s="8" t="s">
        <v>38</v>
      </c>
      <c r="E61" s="8" t="s">
        <v>48</v>
      </c>
      <c r="F61" s="8" t="s">
        <v>40</v>
      </c>
      <c r="G61" s="10">
        <v>2</v>
      </c>
      <c r="H61" s="11">
        <v>187.01</v>
      </c>
      <c r="I61" s="11">
        <v>374.02</v>
      </c>
      <c r="J61" s="11">
        <v>230.06</v>
      </c>
      <c r="K61" s="11">
        <v>143.96</v>
      </c>
      <c r="L61" s="8">
        <v>2026</v>
      </c>
      <c r="M61" s="8" t="s">
        <v>77</v>
      </c>
    </row>
    <row r="62" spans="1:13">
      <c r="A62" s="8" t="s">
        <v>125</v>
      </c>
      <c r="B62" s="9">
        <v>46074</v>
      </c>
      <c r="C62" s="8" t="s">
        <v>34</v>
      </c>
      <c r="D62" s="8" t="s">
        <v>43</v>
      </c>
      <c r="E62" s="8" t="s">
        <v>57</v>
      </c>
      <c r="F62" s="8" t="s">
        <v>40</v>
      </c>
      <c r="G62" s="10">
        <v>5</v>
      </c>
      <c r="H62" s="11">
        <v>490.16</v>
      </c>
      <c r="I62" s="11">
        <v>2450.8000000000002</v>
      </c>
      <c r="J62" s="11">
        <v>1618.65</v>
      </c>
      <c r="K62" s="11">
        <v>832.15</v>
      </c>
      <c r="L62" s="8">
        <v>2026</v>
      </c>
      <c r="M62" s="8" t="s">
        <v>83</v>
      </c>
    </row>
    <row r="63" spans="1:13">
      <c r="A63" s="8" t="s">
        <v>126</v>
      </c>
      <c r="B63" s="9">
        <v>45879</v>
      </c>
      <c r="C63" s="8" t="s">
        <v>34</v>
      </c>
      <c r="D63" s="8" t="s">
        <v>29</v>
      </c>
      <c r="E63" s="8" t="s">
        <v>35</v>
      </c>
      <c r="F63" s="8" t="s">
        <v>45</v>
      </c>
      <c r="G63" s="10">
        <v>12</v>
      </c>
      <c r="H63" s="11">
        <v>50.31</v>
      </c>
      <c r="I63" s="11">
        <v>603.72</v>
      </c>
      <c r="J63" s="11">
        <v>266.77999999999997</v>
      </c>
      <c r="K63" s="11">
        <v>336.94</v>
      </c>
      <c r="L63" s="8">
        <v>2025</v>
      </c>
      <c r="M63" s="8" t="s">
        <v>62</v>
      </c>
    </row>
    <row r="64" spans="1:13">
      <c r="A64" s="8" t="s">
        <v>127</v>
      </c>
      <c r="B64" s="9">
        <v>45752</v>
      </c>
      <c r="C64" s="8" t="s">
        <v>28</v>
      </c>
      <c r="D64" s="8" t="s">
        <v>38</v>
      </c>
      <c r="E64" s="8" t="s">
        <v>39</v>
      </c>
      <c r="F64" s="8" t="s">
        <v>66</v>
      </c>
      <c r="G64" s="10">
        <v>5</v>
      </c>
      <c r="H64" s="11">
        <v>50.04</v>
      </c>
      <c r="I64" s="11">
        <v>250.2</v>
      </c>
      <c r="J64" s="11">
        <v>103.62</v>
      </c>
      <c r="K64" s="11">
        <v>146.58000000000001</v>
      </c>
      <c r="L64" s="8">
        <v>2025</v>
      </c>
      <c r="M64" s="8" t="s">
        <v>46</v>
      </c>
    </row>
    <row r="65" spans="1:13">
      <c r="A65" s="8" t="s">
        <v>128</v>
      </c>
      <c r="B65" s="9">
        <v>46057</v>
      </c>
      <c r="C65" s="8" t="s">
        <v>56</v>
      </c>
      <c r="D65" s="8" t="s">
        <v>29</v>
      </c>
      <c r="E65" s="8" t="s">
        <v>30</v>
      </c>
      <c r="F65" s="8" t="s">
        <v>45</v>
      </c>
      <c r="G65" s="10">
        <v>4</v>
      </c>
      <c r="H65" s="11">
        <v>24.28</v>
      </c>
      <c r="I65" s="11">
        <v>97.12</v>
      </c>
      <c r="J65" s="11">
        <v>40.76</v>
      </c>
      <c r="K65" s="11">
        <v>56.36</v>
      </c>
      <c r="L65" s="8">
        <v>2026</v>
      </c>
      <c r="M65" s="8" t="s">
        <v>83</v>
      </c>
    </row>
    <row r="66" spans="1:13">
      <c r="A66" s="8" t="s">
        <v>129</v>
      </c>
      <c r="B66" s="9">
        <v>46211</v>
      </c>
      <c r="C66" s="8" t="s">
        <v>52</v>
      </c>
      <c r="D66" s="8" t="s">
        <v>29</v>
      </c>
      <c r="E66" s="8" t="s">
        <v>35</v>
      </c>
      <c r="F66" s="8" t="s">
        <v>45</v>
      </c>
      <c r="G66" s="10">
        <v>6</v>
      </c>
      <c r="H66" s="11">
        <v>38.869999999999997</v>
      </c>
      <c r="I66" s="11">
        <v>233.22</v>
      </c>
      <c r="J66" s="11">
        <v>99.34</v>
      </c>
      <c r="K66" s="11">
        <v>133.88</v>
      </c>
      <c r="L66" s="8">
        <v>2026</v>
      </c>
      <c r="M66" s="8" t="s">
        <v>69</v>
      </c>
    </row>
    <row r="67" spans="1:13">
      <c r="A67" s="8" t="s">
        <v>130</v>
      </c>
      <c r="B67" s="9">
        <v>46076</v>
      </c>
      <c r="C67" s="8" t="s">
        <v>28</v>
      </c>
      <c r="D67" s="8" t="s">
        <v>43</v>
      </c>
      <c r="E67" s="8" t="s">
        <v>57</v>
      </c>
      <c r="F67" s="8" t="s">
        <v>74</v>
      </c>
      <c r="G67" s="10">
        <v>3</v>
      </c>
      <c r="H67" s="11">
        <v>483.23</v>
      </c>
      <c r="I67" s="11">
        <v>1449.69</v>
      </c>
      <c r="J67" s="11">
        <v>879.69</v>
      </c>
      <c r="K67" s="11">
        <v>570</v>
      </c>
      <c r="L67" s="8">
        <v>2026</v>
      </c>
      <c r="M67" s="8" t="s">
        <v>83</v>
      </c>
    </row>
    <row r="68" spans="1:13">
      <c r="A68" s="8" t="s">
        <v>131</v>
      </c>
      <c r="B68" s="9">
        <v>45978</v>
      </c>
      <c r="C68" s="8" t="s">
        <v>34</v>
      </c>
      <c r="D68" s="8" t="s">
        <v>43</v>
      </c>
      <c r="E68" s="8" t="s">
        <v>94</v>
      </c>
      <c r="F68" s="8" t="s">
        <v>40</v>
      </c>
      <c r="G68" s="10">
        <v>3</v>
      </c>
      <c r="H68" s="11">
        <v>295.37</v>
      </c>
      <c r="I68" s="11">
        <v>886.11</v>
      </c>
      <c r="J68" s="11">
        <v>495.97</v>
      </c>
      <c r="K68" s="11">
        <v>390.14</v>
      </c>
      <c r="L68" s="8">
        <v>2025</v>
      </c>
      <c r="M68" s="8" t="s">
        <v>41</v>
      </c>
    </row>
    <row r="69" spans="1:13">
      <c r="A69" s="8" t="s">
        <v>132</v>
      </c>
      <c r="B69" s="9">
        <v>46229</v>
      </c>
      <c r="C69" s="8" t="s">
        <v>28</v>
      </c>
      <c r="D69" s="8" t="s">
        <v>43</v>
      </c>
      <c r="E69" s="8" t="s">
        <v>57</v>
      </c>
      <c r="F69" s="8" t="s">
        <v>66</v>
      </c>
      <c r="G69" s="10">
        <v>1</v>
      </c>
      <c r="H69" s="11">
        <v>545.24</v>
      </c>
      <c r="I69" s="11">
        <v>545.24</v>
      </c>
      <c r="J69" s="11">
        <v>363.83</v>
      </c>
      <c r="K69" s="11">
        <v>181.41</v>
      </c>
      <c r="L69" s="8">
        <v>2026</v>
      </c>
      <c r="M69" s="8" t="s">
        <v>69</v>
      </c>
    </row>
    <row r="70" spans="1:13">
      <c r="A70" s="8" t="s">
        <v>133</v>
      </c>
      <c r="B70" s="9">
        <v>46113</v>
      </c>
      <c r="C70" s="8" t="s">
        <v>34</v>
      </c>
      <c r="D70" s="8" t="s">
        <v>38</v>
      </c>
      <c r="E70" s="8" t="s">
        <v>134</v>
      </c>
      <c r="F70" s="8" t="s">
        <v>85</v>
      </c>
      <c r="G70" s="10">
        <v>5</v>
      </c>
      <c r="H70" s="11">
        <v>320.29000000000002</v>
      </c>
      <c r="I70" s="11">
        <v>1601.45</v>
      </c>
      <c r="J70" s="11">
        <v>1123.6300000000001</v>
      </c>
      <c r="K70" s="11">
        <v>477.82</v>
      </c>
      <c r="L70" s="8">
        <v>2026</v>
      </c>
      <c r="M70" s="8" t="s">
        <v>46</v>
      </c>
    </row>
    <row r="71" spans="1:13">
      <c r="A71" s="8" t="s">
        <v>135</v>
      </c>
      <c r="B71" s="9">
        <v>46173</v>
      </c>
      <c r="C71" s="8" t="s">
        <v>34</v>
      </c>
      <c r="D71" s="8" t="s">
        <v>43</v>
      </c>
      <c r="E71" s="8" t="s">
        <v>57</v>
      </c>
      <c r="F71" s="8" t="s">
        <v>31</v>
      </c>
      <c r="G71" s="10">
        <v>5</v>
      </c>
      <c r="H71" s="11">
        <v>483.03</v>
      </c>
      <c r="I71" s="11">
        <v>2415.15</v>
      </c>
      <c r="J71" s="11">
        <v>1470.96</v>
      </c>
      <c r="K71" s="11">
        <v>944.19</v>
      </c>
      <c r="L71" s="8">
        <v>2026</v>
      </c>
      <c r="M71" s="8" t="s">
        <v>50</v>
      </c>
    </row>
    <row r="72" spans="1:13">
      <c r="A72" s="8" t="s">
        <v>136</v>
      </c>
      <c r="B72" s="9">
        <v>46127</v>
      </c>
      <c r="C72" s="8" t="s">
        <v>56</v>
      </c>
      <c r="D72" s="8" t="s">
        <v>38</v>
      </c>
      <c r="E72" s="8" t="s">
        <v>39</v>
      </c>
      <c r="F72" s="8" t="s">
        <v>45</v>
      </c>
      <c r="G72" s="10">
        <v>3</v>
      </c>
      <c r="H72" s="11">
        <v>51.08</v>
      </c>
      <c r="I72" s="11">
        <v>153.24</v>
      </c>
      <c r="J72" s="11">
        <v>69.45</v>
      </c>
      <c r="K72" s="11">
        <v>83.79</v>
      </c>
      <c r="L72" s="8">
        <v>2026</v>
      </c>
      <c r="M72" s="8" t="s">
        <v>46</v>
      </c>
    </row>
    <row r="73" spans="1:13">
      <c r="A73" s="8" t="s">
        <v>137</v>
      </c>
      <c r="B73" s="9">
        <v>45852</v>
      </c>
      <c r="C73" s="8" t="s">
        <v>34</v>
      </c>
      <c r="D73" s="8" t="s">
        <v>38</v>
      </c>
      <c r="E73" s="8" t="s">
        <v>134</v>
      </c>
      <c r="F73" s="8" t="s">
        <v>74</v>
      </c>
      <c r="G73" s="10">
        <v>1</v>
      </c>
      <c r="H73" s="11">
        <v>292.05</v>
      </c>
      <c r="I73" s="11">
        <v>292.05</v>
      </c>
      <c r="J73" s="11">
        <v>212.5</v>
      </c>
      <c r="K73" s="11">
        <v>79.55</v>
      </c>
      <c r="L73" s="8">
        <v>2025</v>
      </c>
      <c r="M73" s="8" t="s">
        <v>69</v>
      </c>
    </row>
    <row r="74" spans="1:13">
      <c r="A74" s="8" t="s">
        <v>138</v>
      </c>
      <c r="B74" s="9">
        <v>45882</v>
      </c>
      <c r="C74" s="8" t="s">
        <v>28</v>
      </c>
      <c r="D74" s="8" t="s">
        <v>43</v>
      </c>
      <c r="E74" s="8" t="s">
        <v>65</v>
      </c>
      <c r="F74" s="8" t="s">
        <v>66</v>
      </c>
      <c r="G74" s="10">
        <v>4</v>
      </c>
      <c r="H74" s="11">
        <v>171.89</v>
      </c>
      <c r="I74" s="11">
        <v>687.56</v>
      </c>
      <c r="J74" s="11">
        <v>375.05</v>
      </c>
      <c r="K74" s="11">
        <v>312.51</v>
      </c>
      <c r="L74" s="8">
        <v>2025</v>
      </c>
      <c r="M74" s="8" t="s">
        <v>62</v>
      </c>
    </row>
    <row r="75" spans="1:13">
      <c r="A75" s="8" t="s">
        <v>139</v>
      </c>
      <c r="B75" s="9">
        <v>45949</v>
      </c>
      <c r="C75" s="8" t="s">
        <v>52</v>
      </c>
      <c r="D75" s="8" t="s">
        <v>43</v>
      </c>
      <c r="E75" s="8" t="s">
        <v>44</v>
      </c>
      <c r="F75" s="8" t="s">
        <v>40</v>
      </c>
      <c r="G75" s="10">
        <v>3</v>
      </c>
      <c r="H75" s="11">
        <v>374.17</v>
      </c>
      <c r="I75" s="11">
        <v>1122.51</v>
      </c>
      <c r="J75" s="11">
        <v>699.92</v>
      </c>
      <c r="K75" s="11">
        <v>422.59</v>
      </c>
      <c r="L75" s="8">
        <v>2025</v>
      </c>
      <c r="M75" s="8" t="s">
        <v>58</v>
      </c>
    </row>
    <row r="76" spans="1:13">
      <c r="A76" s="8" t="s">
        <v>140</v>
      </c>
      <c r="B76" s="9">
        <v>46239</v>
      </c>
      <c r="C76" s="8" t="s">
        <v>52</v>
      </c>
      <c r="D76" s="8" t="s">
        <v>43</v>
      </c>
      <c r="E76" s="8" t="s">
        <v>44</v>
      </c>
      <c r="F76" s="8" t="s">
        <v>45</v>
      </c>
      <c r="G76" s="10">
        <v>4</v>
      </c>
      <c r="H76" s="11">
        <v>380.19</v>
      </c>
      <c r="I76" s="11">
        <v>1520.76</v>
      </c>
      <c r="J76" s="11">
        <v>978.19</v>
      </c>
      <c r="K76" s="11">
        <v>542.57000000000005</v>
      </c>
      <c r="L76" s="8">
        <v>2026</v>
      </c>
      <c r="M76" s="8" t="s">
        <v>62</v>
      </c>
    </row>
    <row r="77" spans="1:13">
      <c r="A77" s="8" t="s">
        <v>141</v>
      </c>
      <c r="B77" s="9">
        <v>45870</v>
      </c>
      <c r="C77" s="8" t="s">
        <v>34</v>
      </c>
      <c r="D77" s="8" t="s">
        <v>43</v>
      </c>
      <c r="E77" s="8" t="s">
        <v>65</v>
      </c>
      <c r="F77" s="8" t="s">
        <v>85</v>
      </c>
      <c r="G77" s="10">
        <v>2</v>
      </c>
      <c r="H77" s="11">
        <v>178.12</v>
      </c>
      <c r="I77" s="11">
        <v>356.24</v>
      </c>
      <c r="J77" s="11">
        <v>195.88</v>
      </c>
      <c r="K77" s="11">
        <v>160.36000000000001</v>
      </c>
      <c r="L77" s="8">
        <v>2025</v>
      </c>
      <c r="M77" s="8" t="s">
        <v>62</v>
      </c>
    </row>
    <row r="78" spans="1:13">
      <c r="A78" s="8" t="s">
        <v>142</v>
      </c>
      <c r="B78" s="9">
        <v>45709</v>
      </c>
      <c r="C78" s="8" t="s">
        <v>56</v>
      </c>
      <c r="D78" s="8" t="s">
        <v>29</v>
      </c>
      <c r="E78" s="8" t="s">
        <v>116</v>
      </c>
      <c r="F78" s="8" t="s">
        <v>85</v>
      </c>
      <c r="G78" s="10">
        <v>7</v>
      </c>
      <c r="H78" s="11">
        <v>19.829999999999998</v>
      </c>
      <c r="I78" s="11">
        <v>138.81</v>
      </c>
      <c r="J78" s="11">
        <v>58.92</v>
      </c>
      <c r="K78" s="11">
        <v>79.89</v>
      </c>
      <c r="L78" s="8">
        <v>2025</v>
      </c>
      <c r="M78" s="8" t="s">
        <v>83</v>
      </c>
    </row>
    <row r="79" spans="1:13">
      <c r="A79" s="8" t="s">
        <v>143</v>
      </c>
      <c r="B79" s="9">
        <v>46166</v>
      </c>
      <c r="C79" s="8" t="s">
        <v>56</v>
      </c>
      <c r="D79" s="8" t="s">
        <v>38</v>
      </c>
      <c r="E79" s="8" t="s">
        <v>134</v>
      </c>
      <c r="F79" s="8" t="s">
        <v>85</v>
      </c>
      <c r="G79" s="10">
        <v>1</v>
      </c>
      <c r="H79" s="11">
        <v>277.10000000000002</v>
      </c>
      <c r="I79" s="11">
        <v>277.10000000000002</v>
      </c>
      <c r="J79" s="11">
        <v>196.31</v>
      </c>
      <c r="K79" s="11">
        <v>80.790000000000006</v>
      </c>
      <c r="L79" s="8">
        <v>2026</v>
      </c>
      <c r="M79" s="8" t="s">
        <v>50</v>
      </c>
    </row>
    <row r="80" spans="1:13">
      <c r="A80" s="8" t="s">
        <v>144</v>
      </c>
      <c r="B80" s="9">
        <v>45968</v>
      </c>
      <c r="C80" s="8" t="s">
        <v>56</v>
      </c>
      <c r="D80" s="8" t="s">
        <v>29</v>
      </c>
      <c r="E80" s="8" t="s">
        <v>116</v>
      </c>
      <c r="F80" s="8" t="s">
        <v>40</v>
      </c>
      <c r="G80" s="10">
        <v>11</v>
      </c>
      <c r="H80" s="11">
        <v>17.010000000000002</v>
      </c>
      <c r="I80" s="11">
        <v>187.11</v>
      </c>
      <c r="J80" s="11">
        <v>74.89</v>
      </c>
      <c r="K80" s="11">
        <v>112.22</v>
      </c>
      <c r="L80" s="8">
        <v>2025</v>
      </c>
      <c r="M80" s="8" t="s">
        <v>41</v>
      </c>
    </row>
    <row r="81" spans="1:13">
      <c r="A81" s="8" t="s">
        <v>145</v>
      </c>
      <c r="B81" s="9">
        <v>46081</v>
      </c>
      <c r="C81" s="8" t="s">
        <v>34</v>
      </c>
      <c r="D81" s="8" t="s">
        <v>38</v>
      </c>
      <c r="E81" s="8" t="s">
        <v>61</v>
      </c>
      <c r="F81" s="8" t="s">
        <v>66</v>
      </c>
      <c r="G81" s="10">
        <v>5</v>
      </c>
      <c r="H81" s="11">
        <v>951.36</v>
      </c>
      <c r="I81" s="11">
        <v>4756.8</v>
      </c>
      <c r="J81" s="11">
        <v>3544.6</v>
      </c>
      <c r="K81" s="11">
        <v>1212.2</v>
      </c>
      <c r="L81" s="8">
        <v>2026</v>
      </c>
      <c r="M81" s="8" t="s">
        <v>83</v>
      </c>
    </row>
    <row r="82" spans="1:13">
      <c r="A82" s="8" t="s">
        <v>146</v>
      </c>
      <c r="B82" s="9">
        <v>46161</v>
      </c>
      <c r="C82" s="8" t="s">
        <v>52</v>
      </c>
      <c r="D82" s="8" t="s">
        <v>43</v>
      </c>
      <c r="E82" s="8" t="s">
        <v>44</v>
      </c>
      <c r="F82" s="8" t="s">
        <v>85</v>
      </c>
      <c r="G82" s="10">
        <v>4</v>
      </c>
      <c r="H82" s="11">
        <v>382.75</v>
      </c>
      <c r="I82" s="11">
        <v>1531</v>
      </c>
      <c r="J82" s="11">
        <v>940.49</v>
      </c>
      <c r="K82" s="11">
        <v>590.51</v>
      </c>
      <c r="L82" s="8">
        <v>2026</v>
      </c>
      <c r="M82" s="8" t="s">
        <v>50</v>
      </c>
    </row>
    <row r="83" spans="1:13">
      <c r="A83" s="8" t="s">
        <v>147</v>
      </c>
      <c r="B83" s="9">
        <v>45949</v>
      </c>
      <c r="C83" s="8" t="s">
        <v>28</v>
      </c>
      <c r="D83" s="8" t="s">
        <v>29</v>
      </c>
      <c r="E83" s="8" t="s">
        <v>30</v>
      </c>
      <c r="F83" s="8" t="s">
        <v>74</v>
      </c>
      <c r="G83" s="10">
        <v>2</v>
      </c>
      <c r="H83" s="11">
        <v>26.31</v>
      </c>
      <c r="I83" s="11">
        <v>52.62</v>
      </c>
      <c r="J83" s="11">
        <v>20</v>
      </c>
      <c r="K83" s="11">
        <v>32.619999999999997</v>
      </c>
      <c r="L83" s="8">
        <v>2025</v>
      </c>
      <c r="M83" s="8" t="s">
        <v>58</v>
      </c>
    </row>
    <row r="84" spans="1:13">
      <c r="A84" s="8" t="s">
        <v>148</v>
      </c>
      <c r="B84" s="9">
        <v>46178</v>
      </c>
      <c r="C84" s="8" t="s">
        <v>52</v>
      </c>
      <c r="D84" s="8" t="s">
        <v>43</v>
      </c>
      <c r="E84" s="8" t="s">
        <v>94</v>
      </c>
      <c r="F84" s="8" t="s">
        <v>66</v>
      </c>
      <c r="G84" s="10">
        <v>1</v>
      </c>
      <c r="H84" s="11">
        <v>290.33999999999997</v>
      </c>
      <c r="I84" s="11">
        <v>290.33999999999997</v>
      </c>
      <c r="J84" s="11">
        <v>171.58</v>
      </c>
      <c r="K84" s="11">
        <v>118.76</v>
      </c>
      <c r="L84" s="8">
        <v>2026</v>
      </c>
      <c r="M84" s="8" t="s">
        <v>54</v>
      </c>
    </row>
    <row r="85" spans="1:13">
      <c r="A85" s="8" t="s">
        <v>149</v>
      </c>
      <c r="B85" s="9">
        <v>46255</v>
      </c>
      <c r="C85" s="8" t="s">
        <v>34</v>
      </c>
      <c r="D85" s="8" t="s">
        <v>29</v>
      </c>
      <c r="E85" s="8" t="s">
        <v>116</v>
      </c>
      <c r="F85" s="8" t="s">
        <v>45</v>
      </c>
      <c r="G85" s="10">
        <v>12</v>
      </c>
      <c r="H85" s="11">
        <v>17.11</v>
      </c>
      <c r="I85" s="11">
        <v>205.32</v>
      </c>
      <c r="J85" s="11">
        <v>74.930000000000007</v>
      </c>
      <c r="K85" s="11">
        <v>130.38999999999999</v>
      </c>
      <c r="L85" s="8">
        <v>2026</v>
      </c>
      <c r="M85" s="8" t="s">
        <v>62</v>
      </c>
    </row>
    <row r="86" spans="1:13">
      <c r="A86" s="8" t="s">
        <v>150</v>
      </c>
      <c r="B86" s="9">
        <v>45929</v>
      </c>
      <c r="C86" s="8" t="s">
        <v>28</v>
      </c>
      <c r="D86" s="8" t="s">
        <v>38</v>
      </c>
      <c r="E86" s="8" t="s">
        <v>61</v>
      </c>
      <c r="F86" s="8" t="s">
        <v>53</v>
      </c>
      <c r="G86" s="10">
        <v>2</v>
      </c>
      <c r="H86" s="11">
        <v>1000.75</v>
      </c>
      <c r="I86" s="11">
        <v>2001.5</v>
      </c>
      <c r="J86" s="11">
        <v>1567.56</v>
      </c>
      <c r="K86" s="11">
        <v>433.94</v>
      </c>
      <c r="L86" s="8">
        <v>2025</v>
      </c>
      <c r="M86" s="8" t="s">
        <v>98</v>
      </c>
    </row>
    <row r="87" spans="1:13">
      <c r="A87" s="8" t="s">
        <v>151</v>
      </c>
      <c r="B87" s="9">
        <v>46224</v>
      </c>
      <c r="C87" s="8" t="s">
        <v>56</v>
      </c>
      <c r="D87" s="8" t="s">
        <v>29</v>
      </c>
      <c r="E87" s="8" t="s">
        <v>35</v>
      </c>
      <c r="F87" s="8" t="s">
        <v>85</v>
      </c>
      <c r="G87" s="10">
        <v>12</v>
      </c>
      <c r="H87" s="11">
        <v>41.46</v>
      </c>
      <c r="I87" s="11">
        <v>497.52</v>
      </c>
      <c r="J87" s="11">
        <v>232.73</v>
      </c>
      <c r="K87" s="11">
        <v>264.79000000000002</v>
      </c>
      <c r="L87" s="8">
        <v>2026</v>
      </c>
      <c r="M87" s="8" t="s">
        <v>69</v>
      </c>
    </row>
    <row r="88" spans="1:13">
      <c r="A88" s="8" t="s">
        <v>152</v>
      </c>
      <c r="B88" s="9">
        <v>45921</v>
      </c>
      <c r="C88" s="8" t="s">
        <v>56</v>
      </c>
      <c r="D88" s="8" t="s">
        <v>43</v>
      </c>
      <c r="E88" s="8" t="s">
        <v>94</v>
      </c>
      <c r="F88" s="8" t="s">
        <v>74</v>
      </c>
      <c r="G88" s="10">
        <v>3</v>
      </c>
      <c r="H88" s="11">
        <v>260.23</v>
      </c>
      <c r="I88" s="11">
        <v>780.69</v>
      </c>
      <c r="J88" s="11">
        <v>459.91</v>
      </c>
      <c r="K88" s="11">
        <v>320.77999999999997</v>
      </c>
      <c r="L88" s="8">
        <v>2025</v>
      </c>
      <c r="M88" s="8" t="s">
        <v>98</v>
      </c>
    </row>
    <row r="89" spans="1:13">
      <c r="A89" s="8" t="s">
        <v>153</v>
      </c>
      <c r="B89" s="9">
        <v>46024</v>
      </c>
      <c r="C89" s="8" t="s">
        <v>56</v>
      </c>
      <c r="D89" s="8" t="s">
        <v>29</v>
      </c>
      <c r="E89" s="8" t="s">
        <v>35</v>
      </c>
      <c r="F89" s="8" t="s">
        <v>53</v>
      </c>
      <c r="G89" s="10">
        <v>4</v>
      </c>
      <c r="H89" s="11">
        <v>43.55</v>
      </c>
      <c r="I89" s="11">
        <v>174.2</v>
      </c>
      <c r="J89" s="11">
        <v>81.48</v>
      </c>
      <c r="K89" s="11">
        <v>92.72</v>
      </c>
      <c r="L89" s="8">
        <v>2026</v>
      </c>
      <c r="M89" s="8" t="s">
        <v>36</v>
      </c>
    </row>
    <row r="90" spans="1:13">
      <c r="A90" s="8" t="s">
        <v>154</v>
      </c>
      <c r="B90" s="9">
        <v>46137</v>
      </c>
      <c r="C90" s="8" t="s">
        <v>56</v>
      </c>
      <c r="D90" s="8" t="s">
        <v>38</v>
      </c>
      <c r="E90" s="8" t="s">
        <v>134</v>
      </c>
      <c r="F90" s="8" t="s">
        <v>53</v>
      </c>
      <c r="G90" s="10">
        <v>4</v>
      </c>
      <c r="H90" s="11">
        <v>295.07</v>
      </c>
      <c r="I90" s="11">
        <v>1180.28</v>
      </c>
      <c r="J90" s="11">
        <v>848.99</v>
      </c>
      <c r="K90" s="11">
        <v>331.29</v>
      </c>
      <c r="L90" s="8">
        <v>2026</v>
      </c>
      <c r="M90" s="8" t="s">
        <v>46</v>
      </c>
    </row>
    <row r="91" spans="1:13">
      <c r="A91" s="8" t="s">
        <v>155</v>
      </c>
      <c r="B91" s="9">
        <v>45910</v>
      </c>
      <c r="C91" s="8" t="s">
        <v>56</v>
      </c>
      <c r="D91" s="8" t="s">
        <v>38</v>
      </c>
      <c r="E91" s="8" t="s">
        <v>48</v>
      </c>
      <c r="F91" s="8" t="s">
        <v>85</v>
      </c>
      <c r="G91" s="10">
        <v>3</v>
      </c>
      <c r="H91" s="11">
        <v>238.97</v>
      </c>
      <c r="I91" s="11">
        <v>716.91</v>
      </c>
      <c r="J91" s="11">
        <v>445.48</v>
      </c>
      <c r="K91" s="11">
        <v>271.43</v>
      </c>
      <c r="L91" s="8">
        <v>2025</v>
      </c>
      <c r="M91" s="8" t="s">
        <v>98</v>
      </c>
    </row>
    <row r="92" spans="1:13">
      <c r="A92" s="8" t="s">
        <v>156</v>
      </c>
      <c r="B92" s="9">
        <v>45774</v>
      </c>
      <c r="C92" s="8" t="s">
        <v>56</v>
      </c>
      <c r="D92" s="8" t="s">
        <v>29</v>
      </c>
      <c r="E92" s="8" t="s">
        <v>116</v>
      </c>
      <c r="F92" s="8" t="s">
        <v>85</v>
      </c>
      <c r="G92" s="10">
        <v>9</v>
      </c>
      <c r="H92" s="11">
        <v>15.77</v>
      </c>
      <c r="I92" s="11">
        <v>141.93</v>
      </c>
      <c r="J92" s="11">
        <v>55.53</v>
      </c>
      <c r="K92" s="11">
        <v>86.4</v>
      </c>
      <c r="L92" s="8">
        <v>2025</v>
      </c>
      <c r="M92" s="8" t="s">
        <v>46</v>
      </c>
    </row>
    <row r="93" spans="1:13">
      <c r="A93" s="8" t="s">
        <v>157</v>
      </c>
      <c r="B93" s="9">
        <v>45820</v>
      </c>
      <c r="C93" s="8" t="s">
        <v>34</v>
      </c>
      <c r="D93" s="8" t="s">
        <v>43</v>
      </c>
      <c r="E93" s="8" t="s">
        <v>57</v>
      </c>
      <c r="F93" s="8" t="s">
        <v>66</v>
      </c>
      <c r="G93" s="10">
        <v>5</v>
      </c>
      <c r="H93" s="11">
        <v>564.37</v>
      </c>
      <c r="I93" s="11">
        <v>2821.85</v>
      </c>
      <c r="J93" s="11">
        <v>1917.47</v>
      </c>
      <c r="K93" s="11">
        <v>904.38</v>
      </c>
      <c r="L93" s="8">
        <v>2025</v>
      </c>
      <c r="M93" s="8" t="s">
        <v>54</v>
      </c>
    </row>
    <row r="94" spans="1:13">
      <c r="A94" s="8" t="s">
        <v>158</v>
      </c>
      <c r="B94" s="9">
        <v>46097</v>
      </c>
      <c r="C94" s="8" t="s">
        <v>52</v>
      </c>
      <c r="D94" s="8" t="s">
        <v>29</v>
      </c>
      <c r="E94" s="8" t="s">
        <v>35</v>
      </c>
      <c r="F94" s="8" t="s">
        <v>31</v>
      </c>
      <c r="G94" s="10">
        <v>12</v>
      </c>
      <c r="H94" s="11">
        <v>40.57</v>
      </c>
      <c r="I94" s="11">
        <v>486.84</v>
      </c>
      <c r="J94" s="11">
        <v>243.35</v>
      </c>
      <c r="K94" s="11">
        <v>243.49</v>
      </c>
      <c r="L94" s="8">
        <v>2026</v>
      </c>
      <c r="M94" s="8" t="s">
        <v>77</v>
      </c>
    </row>
    <row r="95" spans="1:13">
      <c r="A95" s="8" t="s">
        <v>159</v>
      </c>
      <c r="B95" s="9">
        <v>45661</v>
      </c>
      <c r="C95" s="8" t="s">
        <v>56</v>
      </c>
      <c r="D95" s="8" t="s">
        <v>43</v>
      </c>
      <c r="E95" s="8" t="s">
        <v>44</v>
      </c>
      <c r="F95" s="8" t="s">
        <v>66</v>
      </c>
      <c r="G95" s="10">
        <v>4</v>
      </c>
      <c r="H95" s="11">
        <v>370.49</v>
      </c>
      <c r="I95" s="11">
        <v>1481.96</v>
      </c>
      <c r="J95" s="11">
        <v>929.78</v>
      </c>
      <c r="K95" s="11">
        <v>552.17999999999995</v>
      </c>
      <c r="L95" s="8">
        <v>2025</v>
      </c>
      <c r="M95" s="8" t="s">
        <v>36</v>
      </c>
    </row>
    <row r="96" spans="1:13">
      <c r="A96" s="8" t="s">
        <v>160</v>
      </c>
      <c r="B96" s="9">
        <v>46151</v>
      </c>
      <c r="C96" s="8" t="s">
        <v>56</v>
      </c>
      <c r="D96" s="8" t="s">
        <v>38</v>
      </c>
      <c r="E96" s="8" t="s">
        <v>39</v>
      </c>
      <c r="F96" s="8" t="s">
        <v>66</v>
      </c>
      <c r="G96" s="10">
        <v>2</v>
      </c>
      <c r="H96" s="11">
        <v>54.85</v>
      </c>
      <c r="I96" s="11">
        <v>109.7</v>
      </c>
      <c r="J96" s="11">
        <v>51.19</v>
      </c>
      <c r="K96" s="11">
        <v>58.51</v>
      </c>
      <c r="L96" s="8">
        <v>2026</v>
      </c>
      <c r="M96" s="8" t="s">
        <v>50</v>
      </c>
    </row>
    <row r="97" spans="1:13">
      <c r="A97" s="8" t="s">
        <v>161</v>
      </c>
      <c r="B97" s="9">
        <v>45803</v>
      </c>
      <c r="C97" s="8" t="s">
        <v>56</v>
      </c>
      <c r="D97" s="8" t="s">
        <v>43</v>
      </c>
      <c r="E97" s="8" t="s">
        <v>94</v>
      </c>
      <c r="F97" s="8" t="s">
        <v>31</v>
      </c>
      <c r="G97" s="10">
        <v>3</v>
      </c>
      <c r="H97" s="11">
        <v>276.31</v>
      </c>
      <c r="I97" s="11">
        <v>828.93</v>
      </c>
      <c r="J97" s="11">
        <v>480.97</v>
      </c>
      <c r="K97" s="11">
        <v>347.96</v>
      </c>
      <c r="L97" s="8">
        <v>2025</v>
      </c>
      <c r="M97" s="8" t="s">
        <v>50</v>
      </c>
    </row>
    <row r="98" spans="1:13">
      <c r="A98" s="8" t="s">
        <v>162</v>
      </c>
      <c r="B98" s="9">
        <v>45978</v>
      </c>
      <c r="C98" s="8" t="s">
        <v>52</v>
      </c>
      <c r="D98" s="8" t="s">
        <v>29</v>
      </c>
      <c r="E98" s="8" t="s">
        <v>116</v>
      </c>
      <c r="F98" s="8" t="s">
        <v>85</v>
      </c>
      <c r="G98" s="10">
        <v>12</v>
      </c>
      <c r="H98" s="11">
        <v>20.29</v>
      </c>
      <c r="I98" s="11">
        <v>243.48</v>
      </c>
      <c r="J98" s="11">
        <v>85.45</v>
      </c>
      <c r="K98" s="11">
        <v>158.03</v>
      </c>
      <c r="L98" s="8">
        <v>2025</v>
      </c>
      <c r="M98" s="8" t="s">
        <v>41</v>
      </c>
    </row>
    <row r="99" spans="1:13">
      <c r="A99" s="8" t="s">
        <v>163</v>
      </c>
      <c r="B99" s="9">
        <v>46162</v>
      </c>
      <c r="C99" s="8" t="s">
        <v>56</v>
      </c>
      <c r="D99" s="8" t="s">
        <v>29</v>
      </c>
      <c r="E99" s="8" t="s">
        <v>116</v>
      </c>
      <c r="F99" s="8" t="s">
        <v>85</v>
      </c>
      <c r="G99" s="10">
        <v>5</v>
      </c>
      <c r="H99" s="11">
        <v>18.3</v>
      </c>
      <c r="I99" s="11">
        <v>91.5</v>
      </c>
      <c r="J99" s="11">
        <v>37.97</v>
      </c>
      <c r="K99" s="11">
        <v>53.53</v>
      </c>
      <c r="L99" s="8">
        <v>2026</v>
      </c>
      <c r="M99" s="8" t="s">
        <v>50</v>
      </c>
    </row>
    <row r="100" spans="1:13">
      <c r="A100" s="8" t="s">
        <v>164</v>
      </c>
      <c r="B100" s="9">
        <v>45801</v>
      </c>
      <c r="C100" s="8" t="s">
        <v>28</v>
      </c>
      <c r="D100" s="8" t="s">
        <v>38</v>
      </c>
      <c r="E100" s="8" t="s">
        <v>48</v>
      </c>
      <c r="F100" s="8" t="s">
        <v>45</v>
      </c>
      <c r="G100" s="10">
        <v>2</v>
      </c>
      <c r="H100" s="11">
        <v>236.08</v>
      </c>
      <c r="I100" s="11">
        <v>472.16</v>
      </c>
      <c r="J100" s="11">
        <v>297.06</v>
      </c>
      <c r="K100" s="11">
        <v>175.1</v>
      </c>
      <c r="L100" s="8">
        <v>2025</v>
      </c>
      <c r="M100" s="8" t="s">
        <v>50</v>
      </c>
    </row>
    <row r="101" spans="1:13">
      <c r="A101" s="8" t="s">
        <v>165</v>
      </c>
      <c r="B101" s="9">
        <v>45978</v>
      </c>
      <c r="C101" s="8" t="s">
        <v>52</v>
      </c>
      <c r="D101" s="8" t="s">
        <v>29</v>
      </c>
      <c r="E101" s="8" t="s">
        <v>35</v>
      </c>
      <c r="F101" s="8" t="s">
        <v>40</v>
      </c>
      <c r="G101" s="10">
        <v>10</v>
      </c>
      <c r="H101" s="11">
        <v>42.11</v>
      </c>
      <c r="I101" s="11">
        <v>421.1</v>
      </c>
      <c r="J101" s="11">
        <v>206.74</v>
      </c>
      <c r="K101" s="11">
        <v>214.36</v>
      </c>
      <c r="L101" s="8">
        <v>2025</v>
      </c>
      <c r="M101" s="8" t="s">
        <v>41</v>
      </c>
    </row>
    <row r="102" spans="1:13">
      <c r="A102" s="8" t="s">
        <v>166</v>
      </c>
      <c r="B102" s="9">
        <v>45847</v>
      </c>
      <c r="C102" s="8" t="s">
        <v>28</v>
      </c>
      <c r="D102" s="8" t="s">
        <v>43</v>
      </c>
      <c r="E102" s="8" t="s">
        <v>44</v>
      </c>
      <c r="F102" s="8" t="s">
        <v>74</v>
      </c>
      <c r="G102" s="10">
        <v>4</v>
      </c>
      <c r="H102" s="11">
        <v>371.14</v>
      </c>
      <c r="I102" s="11">
        <v>1484.56</v>
      </c>
      <c r="J102" s="11">
        <v>960.36</v>
      </c>
      <c r="K102" s="11">
        <v>524.20000000000005</v>
      </c>
      <c r="L102" s="8">
        <v>2025</v>
      </c>
      <c r="M102" s="8" t="s">
        <v>69</v>
      </c>
    </row>
    <row r="103" spans="1:13">
      <c r="A103" s="8" t="s">
        <v>167</v>
      </c>
      <c r="B103" s="9">
        <v>45761</v>
      </c>
      <c r="C103" s="8" t="s">
        <v>52</v>
      </c>
      <c r="D103" s="8" t="s">
        <v>29</v>
      </c>
      <c r="E103" s="8" t="s">
        <v>35</v>
      </c>
      <c r="F103" s="8" t="s">
        <v>74</v>
      </c>
      <c r="G103" s="10">
        <v>11</v>
      </c>
      <c r="H103" s="11">
        <v>41.19</v>
      </c>
      <c r="I103" s="11">
        <v>453.09</v>
      </c>
      <c r="J103" s="11">
        <v>216.15</v>
      </c>
      <c r="K103" s="11">
        <v>236.94</v>
      </c>
      <c r="L103" s="8">
        <v>2025</v>
      </c>
      <c r="M103" s="8" t="s">
        <v>46</v>
      </c>
    </row>
    <row r="104" spans="1:13">
      <c r="A104" s="8" t="s">
        <v>168</v>
      </c>
      <c r="B104" s="9">
        <v>45828</v>
      </c>
      <c r="C104" s="8" t="s">
        <v>34</v>
      </c>
      <c r="D104" s="8" t="s">
        <v>43</v>
      </c>
      <c r="E104" s="8" t="s">
        <v>57</v>
      </c>
      <c r="F104" s="8" t="s">
        <v>49</v>
      </c>
      <c r="G104" s="10">
        <v>3</v>
      </c>
      <c r="H104" s="11">
        <v>562.55999999999995</v>
      </c>
      <c r="I104" s="11">
        <v>1687.68</v>
      </c>
      <c r="J104" s="11">
        <v>1048.52</v>
      </c>
      <c r="K104" s="11">
        <v>639.16</v>
      </c>
      <c r="L104" s="8">
        <v>2025</v>
      </c>
      <c r="M104" s="8" t="s">
        <v>54</v>
      </c>
    </row>
    <row r="105" spans="1:13">
      <c r="A105" s="8" t="s">
        <v>169</v>
      </c>
      <c r="B105" s="9">
        <v>45950</v>
      </c>
      <c r="C105" s="8" t="s">
        <v>52</v>
      </c>
      <c r="D105" s="8" t="s">
        <v>43</v>
      </c>
      <c r="E105" s="8" t="s">
        <v>94</v>
      </c>
      <c r="F105" s="8" t="s">
        <v>85</v>
      </c>
      <c r="G105" s="10">
        <v>1</v>
      </c>
      <c r="H105" s="11">
        <v>283.56</v>
      </c>
      <c r="I105" s="11">
        <v>283.56</v>
      </c>
      <c r="J105" s="11">
        <v>171.57</v>
      </c>
      <c r="K105" s="11">
        <v>111.99</v>
      </c>
      <c r="L105" s="8">
        <v>2025</v>
      </c>
      <c r="M105" s="8" t="s">
        <v>58</v>
      </c>
    </row>
    <row r="106" spans="1:13">
      <c r="A106" s="8" t="s">
        <v>170</v>
      </c>
      <c r="B106" s="9">
        <v>45899</v>
      </c>
      <c r="C106" s="8" t="s">
        <v>28</v>
      </c>
      <c r="D106" s="8" t="s">
        <v>38</v>
      </c>
      <c r="E106" s="8" t="s">
        <v>134</v>
      </c>
      <c r="F106" s="8" t="s">
        <v>66</v>
      </c>
      <c r="G106" s="10">
        <v>4</v>
      </c>
      <c r="H106" s="11">
        <v>286.76</v>
      </c>
      <c r="I106" s="11">
        <v>1147.04</v>
      </c>
      <c r="J106" s="11">
        <v>823.44</v>
      </c>
      <c r="K106" s="11">
        <v>323.60000000000002</v>
      </c>
      <c r="L106" s="8">
        <v>2025</v>
      </c>
      <c r="M106" s="8" t="s">
        <v>62</v>
      </c>
    </row>
    <row r="107" spans="1:13">
      <c r="A107" s="8" t="s">
        <v>171</v>
      </c>
      <c r="B107" s="9">
        <v>46003</v>
      </c>
      <c r="C107" s="8" t="s">
        <v>52</v>
      </c>
      <c r="D107" s="8" t="s">
        <v>43</v>
      </c>
      <c r="E107" s="8" t="s">
        <v>44</v>
      </c>
      <c r="F107" s="8" t="s">
        <v>74</v>
      </c>
      <c r="G107" s="10">
        <v>2</v>
      </c>
      <c r="H107" s="11">
        <v>385.13</v>
      </c>
      <c r="I107" s="11">
        <v>770.26</v>
      </c>
      <c r="J107" s="11">
        <v>454.82</v>
      </c>
      <c r="K107" s="11">
        <v>315.44</v>
      </c>
      <c r="L107" s="8">
        <v>2025</v>
      </c>
      <c r="M107" s="8" t="s">
        <v>32</v>
      </c>
    </row>
    <row r="108" spans="1:13">
      <c r="A108" s="8" t="s">
        <v>172</v>
      </c>
      <c r="B108" s="9">
        <v>45891</v>
      </c>
      <c r="C108" s="8" t="s">
        <v>52</v>
      </c>
      <c r="D108" s="8" t="s">
        <v>29</v>
      </c>
      <c r="E108" s="8" t="s">
        <v>116</v>
      </c>
      <c r="F108" s="8" t="s">
        <v>85</v>
      </c>
      <c r="G108" s="10">
        <v>2</v>
      </c>
      <c r="H108" s="11">
        <v>18.87</v>
      </c>
      <c r="I108" s="11">
        <v>37.74</v>
      </c>
      <c r="J108" s="11">
        <v>14.62</v>
      </c>
      <c r="K108" s="11">
        <v>23.12</v>
      </c>
      <c r="L108" s="8">
        <v>2025</v>
      </c>
      <c r="M108" s="8" t="s">
        <v>62</v>
      </c>
    </row>
    <row r="109" spans="1:13">
      <c r="A109" s="8" t="s">
        <v>173</v>
      </c>
      <c r="B109" s="9">
        <v>46000</v>
      </c>
      <c r="C109" s="8" t="s">
        <v>34</v>
      </c>
      <c r="D109" s="8" t="s">
        <v>38</v>
      </c>
      <c r="E109" s="8" t="s">
        <v>134</v>
      </c>
      <c r="F109" s="8" t="s">
        <v>40</v>
      </c>
      <c r="G109" s="10">
        <v>1</v>
      </c>
      <c r="H109" s="11">
        <v>352.13</v>
      </c>
      <c r="I109" s="11">
        <v>352.13</v>
      </c>
      <c r="J109" s="11">
        <v>263.18</v>
      </c>
      <c r="K109" s="11">
        <v>88.95</v>
      </c>
      <c r="L109" s="8">
        <v>2025</v>
      </c>
      <c r="M109" s="8" t="s">
        <v>32</v>
      </c>
    </row>
    <row r="110" spans="1:13">
      <c r="A110" s="8" t="s">
        <v>174</v>
      </c>
      <c r="B110" s="9">
        <v>46160</v>
      </c>
      <c r="C110" s="8" t="s">
        <v>28</v>
      </c>
      <c r="D110" s="8" t="s">
        <v>38</v>
      </c>
      <c r="E110" s="8" t="s">
        <v>61</v>
      </c>
      <c r="F110" s="8" t="s">
        <v>45</v>
      </c>
      <c r="G110" s="10">
        <v>1</v>
      </c>
      <c r="H110" s="11">
        <v>981.13</v>
      </c>
      <c r="I110" s="11">
        <v>981.13</v>
      </c>
      <c r="J110" s="11">
        <v>730.26</v>
      </c>
      <c r="K110" s="11">
        <v>250.87</v>
      </c>
      <c r="L110" s="8">
        <v>2026</v>
      </c>
      <c r="M110" s="8" t="s">
        <v>50</v>
      </c>
    </row>
    <row r="111" spans="1:13">
      <c r="A111" s="8" t="s">
        <v>175</v>
      </c>
      <c r="B111" s="9">
        <v>45843</v>
      </c>
      <c r="C111" s="8" t="s">
        <v>28</v>
      </c>
      <c r="D111" s="8" t="s">
        <v>43</v>
      </c>
      <c r="E111" s="8" t="s">
        <v>44</v>
      </c>
      <c r="F111" s="8" t="s">
        <v>85</v>
      </c>
      <c r="G111" s="10">
        <v>3</v>
      </c>
      <c r="H111" s="11">
        <v>370.72</v>
      </c>
      <c r="I111" s="11">
        <v>1112.1600000000001</v>
      </c>
      <c r="J111" s="11">
        <v>664.54</v>
      </c>
      <c r="K111" s="11">
        <v>447.62</v>
      </c>
      <c r="L111" s="8">
        <v>2025</v>
      </c>
      <c r="M111" s="8" t="s">
        <v>69</v>
      </c>
    </row>
    <row r="112" spans="1:13">
      <c r="A112" s="8" t="s">
        <v>176</v>
      </c>
      <c r="B112" s="9">
        <v>46142</v>
      </c>
      <c r="C112" s="8" t="s">
        <v>56</v>
      </c>
      <c r="D112" s="8" t="s">
        <v>43</v>
      </c>
      <c r="E112" s="8" t="s">
        <v>44</v>
      </c>
      <c r="F112" s="8" t="s">
        <v>49</v>
      </c>
      <c r="G112" s="10">
        <v>5</v>
      </c>
      <c r="H112" s="11">
        <v>463.68</v>
      </c>
      <c r="I112" s="11">
        <v>2318.4</v>
      </c>
      <c r="J112" s="11">
        <v>1406.82</v>
      </c>
      <c r="K112" s="11">
        <v>911.58</v>
      </c>
      <c r="L112" s="8">
        <v>2026</v>
      </c>
      <c r="M112" s="8" t="s">
        <v>46</v>
      </c>
    </row>
    <row r="113" spans="1:13">
      <c r="A113" s="8" t="s">
        <v>177</v>
      </c>
      <c r="B113" s="9">
        <v>45806</v>
      </c>
      <c r="C113" s="8" t="s">
        <v>28</v>
      </c>
      <c r="D113" s="8" t="s">
        <v>38</v>
      </c>
      <c r="E113" s="8" t="s">
        <v>39</v>
      </c>
      <c r="F113" s="8" t="s">
        <v>40</v>
      </c>
      <c r="G113" s="10">
        <v>2</v>
      </c>
      <c r="H113" s="11">
        <v>61.1</v>
      </c>
      <c r="I113" s="11">
        <v>122.2</v>
      </c>
      <c r="J113" s="11">
        <v>49.49</v>
      </c>
      <c r="K113" s="11">
        <v>72.709999999999994</v>
      </c>
      <c r="L113" s="8">
        <v>2025</v>
      </c>
      <c r="M113" s="8" t="s">
        <v>50</v>
      </c>
    </row>
    <row r="114" spans="1:13">
      <c r="A114" s="8" t="s">
        <v>178</v>
      </c>
      <c r="B114" s="9">
        <v>45915</v>
      </c>
      <c r="C114" s="8" t="s">
        <v>56</v>
      </c>
      <c r="D114" s="8" t="s">
        <v>29</v>
      </c>
      <c r="E114" s="8" t="s">
        <v>30</v>
      </c>
      <c r="F114" s="8" t="s">
        <v>49</v>
      </c>
      <c r="G114" s="10">
        <v>1</v>
      </c>
      <c r="H114" s="11">
        <v>28.42</v>
      </c>
      <c r="I114" s="11">
        <v>28.42</v>
      </c>
      <c r="J114" s="11">
        <v>11.85</v>
      </c>
      <c r="K114" s="11">
        <v>16.57</v>
      </c>
      <c r="L114" s="8">
        <v>2025</v>
      </c>
      <c r="M114" s="8" t="s">
        <v>98</v>
      </c>
    </row>
    <row r="115" spans="1:13">
      <c r="A115" s="8" t="s">
        <v>179</v>
      </c>
      <c r="B115" s="9">
        <v>46174</v>
      </c>
      <c r="C115" s="8" t="s">
        <v>28</v>
      </c>
      <c r="D115" s="8" t="s">
        <v>38</v>
      </c>
      <c r="E115" s="8" t="s">
        <v>48</v>
      </c>
      <c r="F115" s="8" t="s">
        <v>40</v>
      </c>
      <c r="G115" s="10">
        <v>3</v>
      </c>
      <c r="H115" s="11">
        <v>226.84</v>
      </c>
      <c r="I115" s="11">
        <v>680.52</v>
      </c>
      <c r="J115" s="11">
        <v>438.31</v>
      </c>
      <c r="K115" s="11">
        <v>242.21</v>
      </c>
      <c r="L115" s="8">
        <v>2026</v>
      </c>
      <c r="M115" s="8" t="s">
        <v>54</v>
      </c>
    </row>
    <row r="116" spans="1:13">
      <c r="A116" s="8" t="s">
        <v>180</v>
      </c>
      <c r="B116" s="9">
        <v>46114</v>
      </c>
      <c r="C116" s="8" t="s">
        <v>52</v>
      </c>
      <c r="D116" s="8" t="s">
        <v>43</v>
      </c>
      <c r="E116" s="8" t="s">
        <v>44</v>
      </c>
      <c r="F116" s="8" t="s">
        <v>74</v>
      </c>
      <c r="G116" s="10">
        <v>4</v>
      </c>
      <c r="H116" s="11">
        <v>376.95</v>
      </c>
      <c r="I116" s="11">
        <v>1507.8</v>
      </c>
      <c r="J116" s="11">
        <v>939.34</v>
      </c>
      <c r="K116" s="11">
        <v>568.46</v>
      </c>
      <c r="L116" s="8">
        <v>2026</v>
      </c>
      <c r="M116" s="8" t="s">
        <v>46</v>
      </c>
    </row>
    <row r="117" spans="1:13">
      <c r="A117" s="8" t="s">
        <v>181</v>
      </c>
      <c r="B117" s="9">
        <v>45834</v>
      </c>
      <c r="C117" s="8" t="s">
        <v>34</v>
      </c>
      <c r="D117" s="8" t="s">
        <v>38</v>
      </c>
      <c r="E117" s="8" t="s">
        <v>39</v>
      </c>
      <c r="F117" s="8" t="s">
        <v>45</v>
      </c>
      <c r="G117" s="10">
        <v>1</v>
      </c>
      <c r="H117" s="11">
        <v>54.45</v>
      </c>
      <c r="I117" s="11">
        <v>54.45</v>
      </c>
      <c r="J117" s="11">
        <v>24.13</v>
      </c>
      <c r="K117" s="11">
        <v>30.32</v>
      </c>
      <c r="L117" s="8">
        <v>2025</v>
      </c>
      <c r="M117" s="8" t="s">
        <v>54</v>
      </c>
    </row>
    <row r="118" spans="1:13">
      <c r="A118" s="8" t="s">
        <v>182</v>
      </c>
      <c r="B118" s="9">
        <v>45709</v>
      </c>
      <c r="C118" s="8" t="s">
        <v>28</v>
      </c>
      <c r="D118" s="8" t="s">
        <v>38</v>
      </c>
      <c r="E118" s="8" t="s">
        <v>48</v>
      </c>
      <c r="F118" s="8" t="s">
        <v>45</v>
      </c>
      <c r="G118" s="10">
        <v>2</v>
      </c>
      <c r="H118" s="11">
        <v>211.73</v>
      </c>
      <c r="I118" s="11">
        <v>423.46</v>
      </c>
      <c r="J118" s="11">
        <v>267.66000000000003</v>
      </c>
      <c r="K118" s="11">
        <v>155.80000000000001</v>
      </c>
      <c r="L118" s="8">
        <v>2025</v>
      </c>
      <c r="M118" s="8" t="s">
        <v>83</v>
      </c>
    </row>
    <row r="119" spans="1:13">
      <c r="A119" s="8" t="s">
        <v>183</v>
      </c>
      <c r="B119" s="9">
        <v>45751</v>
      </c>
      <c r="C119" s="8" t="s">
        <v>28</v>
      </c>
      <c r="D119" s="8" t="s">
        <v>29</v>
      </c>
      <c r="E119" s="8" t="s">
        <v>116</v>
      </c>
      <c r="F119" s="8" t="s">
        <v>49</v>
      </c>
      <c r="G119" s="10">
        <v>5</v>
      </c>
      <c r="H119" s="11">
        <v>18.940000000000001</v>
      </c>
      <c r="I119" s="11">
        <v>94.7</v>
      </c>
      <c r="J119" s="11">
        <v>35.74</v>
      </c>
      <c r="K119" s="11">
        <v>58.96</v>
      </c>
      <c r="L119" s="8">
        <v>2025</v>
      </c>
      <c r="M119" s="8" t="s">
        <v>46</v>
      </c>
    </row>
    <row r="120" spans="1:13">
      <c r="A120" s="8" t="s">
        <v>184</v>
      </c>
      <c r="B120" s="9">
        <v>45904</v>
      </c>
      <c r="C120" s="8" t="s">
        <v>34</v>
      </c>
      <c r="D120" s="8" t="s">
        <v>43</v>
      </c>
      <c r="E120" s="8" t="s">
        <v>65</v>
      </c>
      <c r="F120" s="8" t="s">
        <v>85</v>
      </c>
      <c r="G120" s="10">
        <v>2</v>
      </c>
      <c r="H120" s="11">
        <v>163.80000000000001</v>
      </c>
      <c r="I120" s="11">
        <v>327.60000000000002</v>
      </c>
      <c r="J120" s="11">
        <v>183.71</v>
      </c>
      <c r="K120" s="11">
        <v>143.88999999999999</v>
      </c>
      <c r="L120" s="8">
        <v>2025</v>
      </c>
      <c r="M120" s="8" t="s">
        <v>98</v>
      </c>
    </row>
    <row r="121" spans="1:13">
      <c r="A121" s="8" t="s">
        <v>185</v>
      </c>
      <c r="B121" s="9">
        <v>46205</v>
      </c>
      <c r="C121" s="8" t="s">
        <v>34</v>
      </c>
      <c r="D121" s="8" t="s">
        <v>38</v>
      </c>
      <c r="E121" s="8" t="s">
        <v>39</v>
      </c>
      <c r="F121" s="8" t="s">
        <v>66</v>
      </c>
      <c r="G121" s="10">
        <v>3</v>
      </c>
      <c r="H121" s="11">
        <v>60.91</v>
      </c>
      <c r="I121" s="11">
        <v>182.73</v>
      </c>
      <c r="J121" s="11">
        <v>76.959999999999994</v>
      </c>
      <c r="K121" s="11">
        <v>105.77</v>
      </c>
      <c r="L121" s="8">
        <v>2026</v>
      </c>
      <c r="M121" s="8" t="s">
        <v>69</v>
      </c>
    </row>
    <row r="122" spans="1:13">
      <c r="A122" s="8" t="s">
        <v>186</v>
      </c>
      <c r="B122" s="9">
        <v>45785</v>
      </c>
      <c r="C122" s="8" t="s">
        <v>56</v>
      </c>
      <c r="D122" s="8" t="s">
        <v>38</v>
      </c>
      <c r="E122" s="8" t="s">
        <v>134</v>
      </c>
      <c r="F122" s="8" t="s">
        <v>31</v>
      </c>
      <c r="G122" s="10">
        <v>1</v>
      </c>
      <c r="H122" s="11">
        <v>303.62</v>
      </c>
      <c r="I122" s="11">
        <v>303.62</v>
      </c>
      <c r="J122" s="11">
        <v>215.06</v>
      </c>
      <c r="K122" s="11">
        <v>88.56</v>
      </c>
      <c r="L122" s="8">
        <v>2025</v>
      </c>
      <c r="M122" s="8" t="s">
        <v>50</v>
      </c>
    </row>
    <row r="123" spans="1:13">
      <c r="A123" s="8" t="s">
        <v>187</v>
      </c>
      <c r="B123" s="9">
        <v>46195</v>
      </c>
      <c r="C123" s="8" t="s">
        <v>34</v>
      </c>
      <c r="D123" s="8" t="s">
        <v>38</v>
      </c>
      <c r="E123" s="8" t="s">
        <v>61</v>
      </c>
      <c r="F123" s="8" t="s">
        <v>31</v>
      </c>
      <c r="G123" s="10">
        <v>4</v>
      </c>
      <c r="H123" s="11">
        <v>828.72</v>
      </c>
      <c r="I123" s="11">
        <v>3314.88</v>
      </c>
      <c r="J123" s="11">
        <v>2643.09</v>
      </c>
      <c r="K123" s="11">
        <v>671.79</v>
      </c>
      <c r="L123" s="8">
        <v>2026</v>
      </c>
      <c r="M123" s="8" t="s">
        <v>54</v>
      </c>
    </row>
    <row r="124" spans="1:13">
      <c r="A124" s="8" t="s">
        <v>188</v>
      </c>
      <c r="B124" s="9">
        <v>46031</v>
      </c>
      <c r="C124" s="8" t="s">
        <v>52</v>
      </c>
      <c r="D124" s="8" t="s">
        <v>29</v>
      </c>
      <c r="E124" s="8" t="s">
        <v>76</v>
      </c>
      <c r="F124" s="8" t="s">
        <v>85</v>
      </c>
      <c r="G124" s="10">
        <v>1</v>
      </c>
      <c r="H124" s="11">
        <v>12.55</v>
      </c>
      <c r="I124" s="11">
        <v>12.55</v>
      </c>
      <c r="J124" s="11">
        <v>4.6100000000000003</v>
      </c>
      <c r="K124" s="11">
        <v>7.94</v>
      </c>
      <c r="L124" s="8">
        <v>2026</v>
      </c>
      <c r="M124" s="8" t="s">
        <v>36</v>
      </c>
    </row>
    <row r="125" spans="1:13">
      <c r="A125" s="8" t="s">
        <v>189</v>
      </c>
      <c r="B125" s="9">
        <v>45924</v>
      </c>
      <c r="C125" s="8" t="s">
        <v>52</v>
      </c>
      <c r="D125" s="8" t="s">
        <v>38</v>
      </c>
      <c r="E125" s="8" t="s">
        <v>48</v>
      </c>
      <c r="F125" s="8" t="s">
        <v>53</v>
      </c>
      <c r="G125" s="10">
        <v>3</v>
      </c>
      <c r="H125" s="11">
        <v>188.52</v>
      </c>
      <c r="I125" s="11">
        <v>565.55999999999995</v>
      </c>
      <c r="J125" s="11">
        <v>367.42</v>
      </c>
      <c r="K125" s="11">
        <v>198.14</v>
      </c>
      <c r="L125" s="8">
        <v>2025</v>
      </c>
      <c r="M125" s="8" t="s">
        <v>98</v>
      </c>
    </row>
    <row r="126" spans="1:13">
      <c r="A126" s="8" t="s">
        <v>190</v>
      </c>
      <c r="B126" s="9">
        <v>45927</v>
      </c>
      <c r="C126" s="8" t="s">
        <v>52</v>
      </c>
      <c r="D126" s="8" t="s">
        <v>43</v>
      </c>
      <c r="E126" s="8" t="s">
        <v>44</v>
      </c>
      <c r="F126" s="8" t="s">
        <v>45</v>
      </c>
      <c r="G126" s="10">
        <v>5</v>
      </c>
      <c r="H126" s="11">
        <v>417.64</v>
      </c>
      <c r="I126" s="11">
        <v>2088.1999999999998</v>
      </c>
      <c r="J126" s="11">
        <v>1247.6600000000001</v>
      </c>
      <c r="K126" s="11">
        <v>840.54</v>
      </c>
      <c r="L126" s="8">
        <v>2025</v>
      </c>
      <c r="M126" s="8" t="s">
        <v>98</v>
      </c>
    </row>
    <row r="127" spans="1:13">
      <c r="A127" s="8" t="s">
        <v>191</v>
      </c>
      <c r="B127" s="9">
        <v>46248</v>
      </c>
      <c r="C127" s="8" t="s">
        <v>34</v>
      </c>
      <c r="D127" s="8" t="s">
        <v>43</v>
      </c>
      <c r="E127" s="8" t="s">
        <v>65</v>
      </c>
      <c r="F127" s="8" t="s">
        <v>66</v>
      </c>
      <c r="G127" s="10">
        <v>1</v>
      </c>
      <c r="H127" s="11">
        <v>156.30000000000001</v>
      </c>
      <c r="I127" s="11">
        <v>156.30000000000001</v>
      </c>
      <c r="J127" s="11">
        <v>83.6</v>
      </c>
      <c r="K127" s="11">
        <v>72.7</v>
      </c>
      <c r="L127" s="8">
        <v>2026</v>
      </c>
      <c r="M127" s="8" t="s">
        <v>62</v>
      </c>
    </row>
    <row r="128" spans="1:13">
      <c r="A128" s="8" t="s">
        <v>192</v>
      </c>
      <c r="B128" s="9">
        <v>46161</v>
      </c>
      <c r="C128" s="8" t="s">
        <v>28</v>
      </c>
      <c r="D128" s="8" t="s">
        <v>29</v>
      </c>
      <c r="E128" s="8" t="s">
        <v>76</v>
      </c>
      <c r="F128" s="8" t="s">
        <v>45</v>
      </c>
      <c r="G128" s="10">
        <v>12</v>
      </c>
      <c r="H128" s="11">
        <v>12.02</v>
      </c>
      <c r="I128" s="11">
        <v>144.24</v>
      </c>
      <c r="J128" s="11">
        <v>48.78</v>
      </c>
      <c r="K128" s="11">
        <v>95.46</v>
      </c>
      <c r="L128" s="8">
        <v>2026</v>
      </c>
      <c r="M128" s="8" t="s">
        <v>50</v>
      </c>
    </row>
    <row r="129" spans="1:13">
      <c r="A129" s="8" t="s">
        <v>193</v>
      </c>
      <c r="B129" s="9">
        <v>46117</v>
      </c>
      <c r="C129" s="8" t="s">
        <v>34</v>
      </c>
      <c r="D129" s="8" t="s">
        <v>43</v>
      </c>
      <c r="E129" s="8" t="s">
        <v>65</v>
      </c>
      <c r="F129" s="8" t="s">
        <v>85</v>
      </c>
      <c r="G129" s="10">
        <v>4</v>
      </c>
      <c r="H129" s="11">
        <v>172.1</v>
      </c>
      <c r="I129" s="11">
        <v>688.4</v>
      </c>
      <c r="J129" s="11">
        <v>375.97</v>
      </c>
      <c r="K129" s="11">
        <v>312.43</v>
      </c>
      <c r="L129" s="8">
        <v>2026</v>
      </c>
      <c r="M129" s="8" t="s">
        <v>46</v>
      </c>
    </row>
    <row r="130" spans="1:13">
      <c r="A130" s="8" t="s">
        <v>194</v>
      </c>
      <c r="B130" s="9">
        <v>45762</v>
      </c>
      <c r="C130" s="8" t="s">
        <v>56</v>
      </c>
      <c r="D130" s="8" t="s">
        <v>43</v>
      </c>
      <c r="E130" s="8" t="s">
        <v>94</v>
      </c>
      <c r="F130" s="8" t="s">
        <v>74</v>
      </c>
      <c r="G130" s="10">
        <v>2</v>
      </c>
      <c r="H130" s="11">
        <v>264.98</v>
      </c>
      <c r="I130" s="11">
        <v>529.96</v>
      </c>
      <c r="J130" s="11">
        <v>315.05</v>
      </c>
      <c r="K130" s="11">
        <v>214.91</v>
      </c>
      <c r="L130" s="8">
        <v>2025</v>
      </c>
      <c r="M130" s="8" t="s">
        <v>46</v>
      </c>
    </row>
    <row r="131" spans="1:13">
      <c r="A131" s="8" t="s">
        <v>195</v>
      </c>
      <c r="B131" s="9">
        <v>45695</v>
      </c>
      <c r="C131" s="8" t="s">
        <v>56</v>
      </c>
      <c r="D131" s="8" t="s">
        <v>29</v>
      </c>
      <c r="E131" s="8" t="s">
        <v>76</v>
      </c>
      <c r="F131" s="8" t="s">
        <v>66</v>
      </c>
      <c r="G131" s="10">
        <v>10</v>
      </c>
      <c r="H131" s="11">
        <v>11.91</v>
      </c>
      <c r="I131" s="11">
        <v>119.1</v>
      </c>
      <c r="J131" s="11">
        <v>43.06</v>
      </c>
      <c r="K131" s="11">
        <v>76.040000000000006</v>
      </c>
      <c r="L131" s="8">
        <v>2025</v>
      </c>
      <c r="M131" s="8" t="s">
        <v>83</v>
      </c>
    </row>
    <row r="132" spans="1:13">
      <c r="A132" s="8" t="s">
        <v>196</v>
      </c>
      <c r="B132" s="9">
        <v>46051</v>
      </c>
      <c r="C132" s="8" t="s">
        <v>34</v>
      </c>
      <c r="D132" s="8" t="s">
        <v>43</v>
      </c>
      <c r="E132" s="8" t="s">
        <v>65</v>
      </c>
      <c r="F132" s="8" t="s">
        <v>74</v>
      </c>
      <c r="G132" s="10">
        <v>1</v>
      </c>
      <c r="H132" s="11">
        <v>170.16</v>
      </c>
      <c r="I132" s="11">
        <v>170.16</v>
      </c>
      <c r="J132" s="11">
        <v>101.04</v>
      </c>
      <c r="K132" s="11">
        <v>69.12</v>
      </c>
      <c r="L132" s="8">
        <v>2026</v>
      </c>
      <c r="M132" s="8" t="s">
        <v>36</v>
      </c>
    </row>
    <row r="133" spans="1:13">
      <c r="A133" s="8" t="s">
        <v>197</v>
      </c>
      <c r="B133" s="9">
        <v>45847</v>
      </c>
      <c r="C133" s="8" t="s">
        <v>28</v>
      </c>
      <c r="D133" s="8" t="s">
        <v>29</v>
      </c>
      <c r="E133" s="8" t="s">
        <v>30</v>
      </c>
      <c r="F133" s="8" t="s">
        <v>66</v>
      </c>
      <c r="G133" s="10">
        <v>11</v>
      </c>
      <c r="H133" s="11">
        <v>24.94</v>
      </c>
      <c r="I133" s="11">
        <v>274.33999999999997</v>
      </c>
      <c r="J133" s="11">
        <v>115.23</v>
      </c>
      <c r="K133" s="11">
        <v>159.11000000000001</v>
      </c>
      <c r="L133" s="8">
        <v>2025</v>
      </c>
      <c r="M133" s="8" t="s">
        <v>69</v>
      </c>
    </row>
    <row r="134" spans="1:13">
      <c r="A134" s="8" t="s">
        <v>198</v>
      </c>
      <c r="B134" s="9">
        <v>45911</v>
      </c>
      <c r="C134" s="8" t="s">
        <v>56</v>
      </c>
      <c r="D134" s="8" t="s">
        <v>38</v>
      </c>
      <c r="E134" s="8" t="s">
        <v>48</v>
      </c>
      <c r="F134" s="8" t="s">
        <v>74</v>
      </c>
      <c r="G134" s="10">
        <v>2</v>
      </c>
      <c r="H134" s="11">
        <v>181.98</v>
      </c>
      <c r="I134" s="11">
        <v>363.96</v>
      </c>
      <c r="J134" s="11">
        <v>235.66</v>
      </c>
      <c r="K134" s="11">
        <v>128.30000000000001</v>
      </c>
      <c r="L134" s="8">
        <v>2025</v>
      </c>
      <c r="M134" s="8" t="s">
        <v>98</v>
      </c>
    </row>
    <row r="135" spans="1:13">
      <c r="A135" s="8" t="s">
        <v>199</v>
      </c>
      <c r="B135" s="9">
        <v>46113</v>
      </c>
      <c r="C135" s="8" t="s">
        <v>52</v>
      </c>
      <c r="D135" s="8" t="s">
        <v>38</v>
      </c>
      <c r="E135" s="8" t="s">
        <v>134</v>
      </c>
      <c r="F135" s="8" t="s">
        <v>66</v>
      </c>
      <c r="G135" s="10">
        <v>5</v>
      </c>
      <c r="H135" s="11">
        <v>352.19</v>
      </c>
      <c r="I135" s="11">
        <v>1760.95</v>
      </c>
      <c r="J135" s="11">
        <v>1257.58</v>
      </c>
      <c r="K135" s="11">
        <v>503.37</v>
      </c>
      <c r="L135" s="8">
        <v>2026</v>
      </c>
      <c r="M135" s="8" t="s">
        <v>46</v>
      </c>
    </row>
    <row r="136" spans="1:13">
      <c r="A136" s="8" t="s">
        <v>200</v>
      </c>
      <c r="B136" s="9">
        <v>46181</v>
      </c>
      <c r="C136" s="8" t="s">
        <v>56</v>
      </c>
      <c r="D136" s="8" t="s">
        <v>43</v>
      </c>
      <c r="E136" s="8" t="s">
        <v>57</v>
      </c>
      <c r="F136" s="8" t="s">
        <v>45</v>
      </c>
      <c r="G136" s="10">
        <v>1</v>
      </c>
      <c r="H136" s="11">
        <v>548.92999999999995</v>
      </c>
      <c r="I136" s="11">
        <v>548.92999999999995</v>
      </c>
      <c r="J136" s="11">
        <v>329.37</v>
      </c>
      <c r="K136" s="11">
        <v>219.56</v>
      </c>
      <c r="L136" s="8">
        <v>2026</v>
      </c>
      <c r="M136" s="8" t="s">
        <v>54</v>
      </c>
    </row>
    <row r="137" spans="1:13">
      <c r="A137" s="8" t="s">
        <v>201</v>
      </c>
      <c r="B137" s="9">
        <v>46025</v>
      </c>
      <c r="C137" s="8" t="s">
        <v>52</v>
      </c>
      <c r="D137" s="8" t="s">
        <v>38</v>
      </c>
      <c r="E137" s="8" t="s">
        <v>61</v>
      </c>
      <c r="F137" s="8" t="s">
        <v>66</v>
      </c>
      <c r="G137" s="10">
        <v>2</v>
      </c>
      <c r="H137" s="11">
        <v>933.27</v>
      </c>
      <c r="I137" s="11">
        <v>1866.54</v>
      </c>
      <c r="J137" s="11">
        <v>1477.86</v>
      </c>
      <c r="K137" s="11">
        <v>388.68</v>
      </c>
      <c r="L137" s="8">
        <v>2026</v>
      </c>
      <c r="M137" s="8" t="s">
        <v>36</v>
      </c>
    </row>
    <row r="138" spans="1:13">
      <c r="A138" s="8" t="s">
        <v>202</v>
      </c>
      <c r="B138" s="9">
        <v>45700</v>
      </c>
      <c r="C138" s="8" t="s">
        <v>34</v>
      </c>
      <c r="D138" s="8" t="s">
        <v>29</v>
      </c>
      <c r="E138" s="8" t="s">
        <v>35</v>
      </c>
      <c r="F138" s="8" t="s">
        <v>45</v>
      </c>
      <c r="G138" s="10">
        <v>5</v>
      </c>
      <c r="H138" s="11">
        <v>41.76</v>
      </c>
      <c r="I138" s="11">
        <v>208.8</v>
      </c>
      <c r="J138" s="11">
        <v>93.12</v>
      </c>
      <c r="K138" s="11">
        <v>115.68</v>
      </c>
      <c r="L138" s="8">
        <v>2025</v>
      </c>
      <c r="M138" s="8" t="s">
        <v>83</v>
      </c>
    </row>
    <row r="139" spans="1:13">
      <c r="A139" s="8" t="s">
        <v>203</v>
      </c>
      <c r="B139" s="9">
        <v>46081</v>
      </c>
      <c r="C139" s="8" t="s">
        <v>34</v>
      </c>
      <c r="D139" s="8" t="s">
        <v>38</v>
      </c>
      <c r="E139" s="8" t="s">
        <v>48</v>
      </c>
      <c r="F139" s="8" t="s">
        <v>85</v>
      </c>
      <c r="G139" s="10">
        <v>5</v>
      </c>
      <c r="H139" s="11">
        <v>197.39</v>
      </c>
      <c r="I139" s="11">
        <v>986.95</v>
      </c>
      <c r="J139" s="11">
        <v>658.35</v>
      </c>
      <c r="K139" s="11">
        <v>328.6</v>
      </c>
      <c r="L139" s="8">
        <v>2026</v>
      </c>
      <c r="M139" s="8" t="s">
        <v>83</v>
      </c>
    </row>
    <row r="140" spans="1:13">
      <c r="A140" s="8" t="s">
        <v>204</v>
      </c>
      <c r="B140" s="9">
        <v>46250</v>
      </c>
      <c r="C140" s="8" t="s">
        <v>28</v>
      </c>
      <c r="D140" s="8" t="s">
        <v>38</v>
      </c>
      <c r="E140" s="8" t="s">
        <v>134</v>
      </c>
      <c r="F140" s="8" t="s">
        <v>85</v>
      </c>
      <c r="G140" s="10">
        <v>3</v>
      </c>
      <c r="H140" s="11">
        <v>308.74</v>
      </c>
      <c r="I140" s="11">
        <v>926.22</v>
      </c>
      <c r="J140" s="11">
        <v>654.79999999999995</v>
      </c>
      <c r="K140" s="11">
        <v>271.42</v>
      </c>
      <c r="L140" s="8">
        <v>2026</v>
      </c>
      <c r="M140" s="8" t="s">
        <v>62</v>
      </c>
    </row>
    <row r="141" spans="1:13">
      <c r="A141" s="8" t="s">
        <v>205</v>
      </c>
      <c r="B141" s="9">
        <v>46036</v>
      </c>
      <c r="C141" s="8" t="s">
        <v>34</v>
      </c>
      <c r="D141" s="8" t="s">
        <v>38</v>
      </c>
      <c r="E141" s="8" t="s">
        <v>39</v>
      </c>
      <c r="F141" s="8" t="s">
        <v>74</v>
      </c>
      <c r="G141" s="10">
        <v>1</v>
      </c>
      <c r="H141" s="11">
        <v>56.98</v>
      </c>
      <c r="I141" s="11">
        <v>56.98</v>
      </c>
      <c r="J141" s="11">
        <v>24.52</v>
      </c>
      <c r="K141" s="11">
        <v>32.46</v>
      </c>
      <c r="L141" s="8">
        <v>2026</v>
      </c>
      <c r="M141" s="8" t="s">
        <v>36</v>
      </c>
    </row>
    <row r="142" spans="1:13">
      <c r="A142" s="8" t="s">
        <v>206</v>
      </c>
      <c r="B142" s="9">
        <v>46039</v>
      </c>
      <c r="C142" s="8" t="s">
        <v>28</v>
      </c>
      <c r="D142" s="8" t="s">
        <v>38</v>
      </c>
      <c r="E142" s="8" t="s">
        <v>48</v>
      </c>
      <c r="F142" s="8" t="s">
        <v>45</v>
      </c>
      <c r="G142" s="10">
        <v>1</v>
      </c>
      <c r="H142" s="11">
        <v>206.76</v>
      </c>
      <c r="I142" s="11">
        <v>206.76</v>
      </c>
      <c r="J142" s="11">
        <v>127.37</v>
      </c>
      <c r="K142" s="11">
        <v>79.39</v>
      </c>
      <c r="L142" s="8">
        <v>2026</v>
      </c>
      <c r="M142" s="8" t="s">
        <v>36</v>
      </c>
    </row>
    <row r="143" spans="1:13">
      <c r="A143" s="8" t="s">
        <v>207</v>
      </c>
      <c r="B143" s="9">
        <v>46258</v>
      </c>
      <c r="C143" s="8" t="s">
        <v>52</v>
      </c>
      <c r="D143" s="8" t="s">
        <v>38</v>
      </c>
      <c r="E143" s="8" t="s">
        <v>134</v>
      </c>
      <c r="F143" s="8" t="s">
        <v>40</v>
      </c>
      <c r="G143" s="10">
        <v>3</v>
      </c>
      <c r="H143" s="11">
        <v>309.48</v>
      </c>
      <c r="I143" s="11">
        <v>928.44</v>
      </c>
      <c r="J143" s="11">
        <v>694.15</v>
      </c>
      <c r="K143" s="11">
        <v>234.29</v>
      </c>
      <c r="L143" s="8">
        <v>2026</v>
      </c>
      <c r="M143" s="8" t="s">
        <v>62</v>
      </c>
    </row>
    <row r="144" spans="1:13">
      <c r="A144" s="8" t="s">
        <v>208</v>
      </c>
      <c r="B144" s="9">
        <v>46009</v>
      </c>
      <c r="C144" s="8" t="s">
        <v>56</v>
      </c>
      <c r="D144" s="8" t="s">
        <v>38</v>
      </c>
      <c r="E144" s="8" t="s">
        <v>48</v>
      </c>
      <c r="F144" s="8" t="s">
        <v>40</v>
      </c>
      <c r="G144" s="10">
        <v>5</v>
      </c>
      <c r="H144" s="11">
        <v>214.07</v>
      </c>
      <c r="I144" s="11">
        <v>1070.3499999999999</v>
      </c>
      <c r="J144" s="11">
        <v>703.15</v>
      </c>
      <c r="K144" s="11">
        <v>367.2</v>
      </c>
      <c r="L144" s="8">
        <v>2025</v>
      </c>
      <c r="M144" s="8" t="s">
        <v>32</v>
      </c>
    </row>
    <row r="145" spans="1:13">
      <c r="A145" s="8" t="s">
        <v>209</v>
      </c>
      <c r="B145" s="9">
        <v>45857</v>
      </c>
      <c r="C145" s="8" t="s">
        <v>56</v>
      </c>
      <c r="D145" s="8" t="s">
        <v>43</v>
      </c>
      <c r="E145" s="8" t="s">
        <v>57</v>
      </c>
      <c r="F145" s="8" t="s">
        <v>49</v>
      </c>
      <c r="G145" s="10">
        <v>4</v>
      </c>
      <c r="H145" s="11">
        <v>451.83</v>
      </c>
      <c r="I145" s="11">
        <v>1807.32</v>
      </c>
      <c r="J145" s="11">
        <v>1214.77</v>
      </c>
      <c r="K145" s="11">
        <v>592.54999999999995</v>
      </c>
      <c r="L145" s="8">
        <v>2025</v>
      </c>
      <c r="M145" s="8" t="s">
        <v>69</v>
      </c>
    </row>
    <row r="146" spans="1:13">
      <c r="A146" s="8" t="s">
        <v>210</v>
      </c>
      <c r="B146" s="9">
        <v>46178</v>
      </c>
      <c r="C146" s="8" t="s">
        <v>52</v>
      </c>
      <c r="D146" s="8" t="s">
        <v>43</v>
      </c>
      <c r="E146" s="8" t="s">
        <v>57</v>
      </c>
      <c r="F146" s="8" t="s">
        <v>49</v>
      </c>
      <c r="G146" s="10">
        <v>5</v>
      </c>
      <c r="H146" s="11">
        <v>578.19000000000005</v>
      </c>
      <c r="I146" s="11">
        <v>2890.95</v>
      </c>
      <c r="J146" s="11">
        <v>1765.91</v>
      </c>
      <c r="K146" s="11">
        <v>1125.04</v>
      </c>
      <c r="L146" s="8">
        <v>2026</v>
      </c>
      <c r="M146" s="8" t="s">
        <v>54</v>
      </c>
    </row>
    <row r="147" spans="1:13">
      <c r="A147" s="8" t="s">
        <v>211</v>
      </c>
      <c r="B147" s="9">
        <v>45865</v>
      </c>
      <c r="C147" s="8" t="s">
        <v>34</v>
      </c>
      <c r="D147" s="8" t="s">
        <v>43</v>
      </c>
      <c r="E147" s="8" t="s">
        <v>94</v>
      </c>
      <c r="F147" s="8" t="s">
        <v>53</v>
      </c>
      <c r="G147" s="10">
        <v>2</v>
      </c>
      <c r="H147" s="11">
        <v>273.45</v>
      </c>
      <c r="I147" s="11">
        <v>546.9</v>
      </c>
      <c r="J147" s="11">
        <v>310.26</v>
      </c>
      <c r="K147" s="11">
        <v>236.64</v>
      </c>
      <c r="L147" s="8">
        <v>2025</v>
      </c>
      <c r="M147" s="8" t="s">
        <v>69</v>
      </c>
    </row>
    <row r="148" spans="1:13">
      <c r="A148" s="8" t="s">
        <v>212</v>
      </c>
      <c r="B148" s="9">
        <v>45679</v>
      </c>
      <c r="C148" s="8" t="s">
        <v>52</v>
      </c>
      <c r="D148" s="8" t="s">
        <v>43</v>
      </c>
      <c r="E148" s="8" t="s">
        <v>44</v>
      </c>
      <c r="F148" s="8" t="s">
        <v>45</v>
      </c>
      <c r="G148" s="10">
        <v>2</v>
      </c>
      <c r="H148" s="11">
        <v>401.62</v>
      </c>
      <c r="I148" s="11">
        <v>803.24</v>
      </c>
      <c r="J148" s="11">
        <v>506.34</v>
      </c>
      <c r="K148" s="11">
        <v>296.89999999999998</v>
      </c>
      <c r="L148" s="8">
        <v>2025</v>
      </c>
      <c r="M148" s="8" t="s">
        <v>36</v>
      </c>
    </row>
    <row r="149" spans="1:13">
      <c r="A149" s="8" t="s">
        <v>213</v>
      </c>
      <c r="B149" s="9">
        <v>45886</v>
      </c>
      <c r="C149" s="8" t="s">
        <v>34</v>
      </c>
      <c r="D149" s="8" t="s">
        <v>43</v>
      </c>
      <c r="E149" s="8" t="s">
        <v>94</v>
      </c>
      <c r="F149" s="8" t="s">
        <v>40</v>
      </c>
      <c r="G149" s="10">
        <v>3</v>
      </c>
      <c r="H149" s="11">
        <v>286.77999999999997</v>
      </c>
      <c r="I149" s="11">
        <v>860.34</v>
      </c>
      <c r="J149" s="11">
        <v>477.43</v>
      </c>
      <c r="K149" s="11">
        <v>382.91</v>
      </c>
      <c r="L149" s="8">
        <v>2025</v>
      </c>
      <c r="M149" s="8" t="s">
        <v>62</v>
      </c>
    </row>
    <row r="150" spans="1:13">
      <c r="A150" s="8" t="s">
        <v>214</v>
      </c>
      <c r="B150" s="9">
        <v>45693</v>
      </c>
      <c r="C150" s="8" t="s">
        <v>28</v>
      </c>
      <c r="D150" s="8" t="s">
        <v>43</v>
      </c>
      <c r="E150" s="8" t="s">
        <v>94</v>
      </c>
      <c r="F150" s="8" t="s">
        <v>53</v>
      </c>
      <c r="G150" s="10">
        <v>1</v>
      </c>
      <c r="H150" s="11">
        <v>272.63</v>
      </c>
      <c r="I150" s="11">
        <v>272.63</v>
      </c>
      <c r="J150" s="11">
        <v>154.4</v>
      </c>
      <c r="K150" s="11">
        <v>118.23</v>
      </c>
      <c r="L150" s="8">
        <v>2025</v>
      </c>
      <c r="M150" s="8" t="s">
        <v>83</v>
      </c>
    </row>
    <row r="151" spans="1:13">
      <c r="A151" s="8" t="s">
        <v>215</v>
      </c>
      <c r="B151" s="9">
        <v>45680</v>
      </c>
      <c r="C151" s="8" t="s">
        <v>34</v>
      </c>
      <c r="D151" s="8" t="s">
        <v>29</v>
      </c>
      <c r="E151" s="8" t="s">
        <v>30</v>
      </c>
      <c r="F151" s="8" t="s">
        <v>85</v>
      </c>
      <c r="G151" s="10">
        <v>9</v>
      </c>
      <c r="H151" s="11">
        <v>21.96</v>
      </c>
      <c r="I151" s="11">
        <v>197.64</v>
      </c>
      <c r="J151" s="11">
        <v>85.44</v>
      </c>
      <c r="K151" s="11">
        <v>112.2</v>
      </c>
      <c r="L151" s="8">
        <v>2025</v>
      </c>
      <c r="M151" s="8" t="s">
        <v>36</v>
      </c>
    </row>
    <row r="152" spans="1:13">
      <c r="A152" s="8" t="s">
        <v>216</v>
      </c>
      <c r="B152" s="9">
        <v>45875</v>
      </c>
      <c r="C152" s="8" t="s">
        <v>52</v>
      </c>
      <c r="D152" s="8" t="s">
        <v>29</v>
      </c>
      <c r="E152" s="8" t="s">
        <v>30</v>
      </c>
      <c r="F152" s="8" t="s">
        <v>40</v>
      </c>
      <c r="G152" s="10">
        <v>2</v>
      </c>
      <c r="H152" s="11">
        <v>28.16</v>
      </c>
      <c r="I152" s="11">
        <v>56.32</v>
      </c>
      <c r="J152" s="11">
        <v>22.4</v>
      </c>
      <c r="K152" s="11">
        <v>33.92</v>
      </c>
      <c r="L152" s="8">
        <v>2025</v>
      </c>
      <c r="M152" s="8" t="s">
        <v>62</v>
      </c>
    </row>
    <row r="153" spans="1:13">
      <c r="A153" s="8" t="s">
        <v>217</v>
      </c>
      <c r="B153" s="9">
        <v>46006</v>
      </c>
      <c r="C153" s="8" t="s">
        <v>56</v>
      </c>
      <c r="D153" s="8" t="s">
        <v>29</v>
      </c>
      <c r="E153" s="8" t="s">
        <v>35</v>
      </c>
      <c r="F153" s="8" t="s">
        <v>85</v>
      </c>
      <c r="G153" s="10">
        <v>9</v>
      </c>
      <c r="H153" s="11">
        <v>51.29</v>
      </c>
      <c r="I153" s="11">
        <v>461.61</v>
      </c>
      <c r="J153" s="11">
        <v>213.11</v>
      </c>
      <c r="K153" s="11">
        <v>248.5</v>
      </c>
      <c r="L153" s="8">
        <v>2025</v>
      </c>
      <c r="M153" s="8" t="s">
        <v>32</v>
      </c>
    </row>
    <row r="154" spans="1:13">
      <c r="A154" s="8" t="s">
        <v>218</v>
      </c>
      <c r="B154" s="9">
        <v>46171</v>
      </c>
      <c r="C154" s="8" t="s">
        <v>28</v>
      </c>
      <c r="D154" s="8" t="s">
        <v>29</v>
      </c>
      <c r="E154" s="8" t="s">
        <v>30</v>
      </c>
      <c r="F154" s="8" t="s">
        <v>40</v>
      </c>
      <c r="G154" s="10">
        <v>6</v>
      </c>
      <c r="H154" s="11">
        <v>23.25</v>
      </c>
      <c r="I154" s="11">
        <v>139.5</v>
      </c>
      <c r="J154" s="11">
        <v>59.91</v>
      </c>
      <c r="K154" s="11">
        <v>79.59</v>
      </c>
      <c r="L154" s="8">
        <v>2026</v>
      </c>
      <c r="M154" s="8" t="s">
        <v>50</v>
      </c>
    </row>
    <row r="155" spans="1:13">
      <c r="A155" s="8" t="s">
        <v>219</v>
      </c>
      <c r="B155" s="9">
        <v>46057</v>
      </c>
      <c r="C155" s="8" t="s">
        <v>34</v>
      </c>
      <c r="D155" s="8" t="s">
        <v>43</v>
      </c>
      <c r="E155" s="8" t="s">
        <v>65</v>
      </c>
      <c r="F155" s="8" t="s">
        <v>53</v>
      </c>
      <c r="G155" s="10">
        <v>5</v>
      </c>
      <c r="H155" s="11">
        <v>185.35</v>
      </c>
      <c r="I155" s="11">
        <v>926.75</v>
      </c>
      <c r="J155" s="11">
        <v>535.86</v>
      </c>
      <c r="K155" s="11">
        <v>390.89</v>
      </c>
      <c r="L155" s="8">
        <v>2026</v>
      </c>
      <c r="M155" s="8" t="s">
        <v>83</v>
      </c>
    </row>
    <row r="156" spans="1:13">
      <c r="A156" s="8" t="s">
        <v>220</v>
      </c>
      <c r="B156" s="9">
        <v>45815</v>
      </c>
      <c r="C156" s="8" t="s">
        <v>34</v>
      </c>
      <c r="D156" s="8" t="s">
        <v>43</v>
      </c>
      <c r="E156" s="8" t="s">
        <v>44</v>
      </c>
      <c r="F156" s="8" t="s">
        <v>40</v>
      </c>
      <c r="G156" s="10">
        <v>1</v>
      </c>
      <c r="H156" s="11">
        <v>364.96</v>
      </c>
      <c r="I156" s="11">
        <v>364.96</v>
      </c>
      <c r="J156" s="11">
        <v>214.14</v>
      </c>
      <c r="K156" s="11">
        <v>150.82</v>
      </c>
      <c r="L156" s="8">
        <v>2025</v>
      </c>
      <c r="M156" s="8" t="s">
        <v>54</v>
      </c>
    </row>
    <row r="157" spans="1:13">
      <c r="A157" s="8" t="s">
        <v>221</v>
      </c>
      <c r="B157" s="9">
        <v>46155</v>
      </c>
      <c r="C157" s="8" t="s">
        <v>34</v>
      </c>
      <c r="D157" s="8" t="s">
        <v>38</v>
      </c>
      <c r="E157" s="8" t="s">
        <v>134</v>
      </c>
      <c r="F157" s="8" t="s">
        <v>40</v>
      </c>
      <c r="G157" s="10">
        <v>4</v>
      </c>
      <c r="H157" s="11">
        <v>308.95</v>
      </c>
      <c r="I157" s="11">
        <v>1235.8</v>
      </c>
      <c r="J157" s="11">
        <v>934.9</v>
      </c>
      <c r="K157" s="11">
        <v>300.89999999999998</v>
      </c>
      <c r="L157" s="8">
        <v>2026</v>
      </c>
      <c r="M157" s="8" t="s">
        <v>50</v>
      </c>
    </row>
    <row r="158" spans="1:13">
      <c r="A158" s="8" t="s">
        <v>222</v>
      </c>
      <c r="B158" s="9">
        <v>46036</v>
      </c>
      <c r="C158" s="8" t="s">
        <v>56</v>
      </c>
      <c r="D158" s="8" t="s">
        <v>38</v>
      </c>
      <c r="E158" s="8" t="s">
        <v>48</v>
      </c>
      <c r="F158" s="8" t="s">
        <v>53</v>
      </c>
      <c r="G158" s="10">
        <v>5</v>
      </c>
      <c r="H158" s="11">
        <v>204.36</v>
      </c>
      <c r="I158" s="11">
        <v>1021.8</v>
      </c>
      <c r="J158" s="11">
        <v>631.94000000000005</v>
      </c>
      <c r="K158" s="11">
        <v>389.86</v>
      </c>
      <c r="L158" s="8">
        <v>2026</v>
      </c>
      <c r="M158" s="8" t="s">
        <v>36</v>
      </c>
    </row>
    <row r="159" spans="1:13">
      <c r="A159" s="8" t="s">
        <v>223</v>
      </c>
      <c r="B159" s="9">
        <v>45665</v>
      </c>
      <c r="C159" s="8" t="s">
        <v>34</v>
      </c>
      <c r="D159" s="8" t="s">
        <v>38</v>
      </c>
      <c r="E159" s="8" t="s">
        <v>61</v>
      </c>
      <c r="F159" s="8" t="s">
        <v>31</v>
      </c>
      <c r="G159" s="10">
        <v>1</v>
      </c>
      <c r="H159" s="11">
        <v>946.73</v>
      </c>
      <c r="I159" s="11">
        <v>946.73</v>
      </c>
      <c r="J159" s="11">
        <v>730.41</v>
      </c>
      <c r="K159" s="11">
        <v>216.32</v>
      </c>
      <c r="L159" s="8">
        <v>2025</v>
      </c>
      <c r="M159" s="8" t="s">
        <v>36</v>
      </c>
    </row>
    <row r="160" spans="1:13">
      <c r="A160" s="8" t="s">
        <v>224</v>
      </c>
      <c r="B160" s="9">
        <v>46091</v>
      </c>
      <c r="C160" s="8" t="s">
        <v>34</v>
      </c>
      <c r="D160" s="8" t="s">
        <v>43</v>
      </c>
      <c r="E160" s="8" t="s">
        <v>94</v>
      </c>
      <c r="F160" s="8" t="s">
        <v>74</v>
      </c>
      <c r="G160" s="10">
        <v>2</v>
      </c>
      <c r="H160" s="11">
        <v>282.73</v>
      </c>
      <c r="I160" s="11">
        <v>565.46</v>
      </c>
      <c r="J160" s="11">
        <v>352.34</v>
      </c>
      <c r="K160" s="11">
        <v>213.12</v>
      </c>
      <c r="L160" s="8">
        <v>2026</v>
      </c>
      <c r="M160" s="8" t="s">
        <v>77</v>
      </c>
    </row>
    <row r="161" spans="1:13">
      <c r="A161" s="8" t="s">
        <v>225</v>
      </c>
      <c r="B161" s="9">
        <v>45946</v>
      </c>
      <c r="C161" s="8" t="s">
        <v>52</v>
      </c>
      <c r="D161" s="8" t="s">
        <v>43</v>
      </c>
      <c r="E161" s="8" t="s">
        <v>65</v>
      </c>
      <c r="F161" s="8" t="s">
        <v>53</v>
      </c>
      <c r="G161" s="10">
        <v>2</v>
      </c>
      <c r="H161" s="11">
        <v>163.36000000000001</v>
      </c>
      <c r="I161" s="11">
        <v>326.72000000000003</v>
      </c>
      <c r="J161" s="11">
        <v>182.29</v>
      </c>
      <c r="K161" s="11">
        <v>144.43</v>
      </c>
      <c r="L161" s="8">
        <v>2025</v>
      </c>
      <c r="M161" s="8" t="s">
        <v>58</v>
      </c>
    </row>
    <row r="162" spans="1:13">
      <c r="A162" s="8" t="s">
        <v>226</v>
      </c>
      <c r="B162" s="9">
        <v>45764</v>
      </c>
      <c r="C162" s="8" t="s">
        <v>28</v>
      </c>
      <c r="D162" s="8" t="s">
        <v>29</v>
      </c>
      <c r="E162" s="8" t="s">
        <v>35</v>
      </c>
      <c r="F162" s="8" t="s">
        <v>53</v>
      </c>
      <c r="G162" s="10">
        <v>10</v>
      </c>
      <c r="H162" s="11">
        <v>48.67</v>
      </c>
      <c r="I162" s="11">
        <v>486.7</v>
      </c>
      <c r="J162" s="11">
        <v>206.55</v>
      </c>
      <c r="K162" s="11">
        <v>280.14999999999998</v>
      </c>
      <c r="L162" s="8">
        <v>2025</v>
      </c>
      <c r="M162" s="8" t="s">
        <v>46</v>
      </c>
    </row>
    <row r="163" spans="1:13">
      <c r="A163" s="8" t="s">
        <v>227</v>
      </c>
      <c r="B163" s="9">
        <v>46176</v>
      </c>
      <c r="C163" s="8" t="s">
        <v>52</v>
      </c>
      <c r="D163" s="8" t="s">
        <v>43</v>
      </c>
      <c r="E163" s="8" t="s">
        <v>57</v>
      </c>
      <c r="F163" s="8" t="s">
        <v>66</v>
      </c>
      <c r="G163" s="10">
        <v>4</v>
      </c>
      <c r="H163" s="11">
        <v>515.09</v>
      </c>
      <c r="I163" s="11">
        <v>2060.36</v>
      </c>
      <c r="J163" s="11">
        <v>1364.57</v>
      </c>
      <c r="K163" s="11">
        <v>695.79</v>
      </c>
      <c r="L163" s="8">
        <v>2026</v>
      </c>
      <c r="M163" s="8" t="s">
        <v>54</v>
      </c>
    </row>
    <row r="164" spans="1:13">
      <c r="A164" s="8" t="s">
        <v>228</v>
      </c>
      <c r="B164" s="9">
        <v>45999</v>
      </c>
      <c r="C164" s="8" t="s">
        <v>34</v>
      </c>
      <c r="D164" s="8" t="s">
        <v>38</v>
      </c>
      <c r="E164" s="8" t="s">
        <v>48</v>
      </c>
      <c r="F164" s="8" t="s">
        <v>53</v>
      </c>
      <c r="G164" s="10">
        <v>2</v>
      </c>
      <c r="H164" s="11">
        <v>187.19</v>
      </c>
      <c r="I164" s="11">
        <v>374.38</v>
      </c>
      <c r="J164" s="11">
        <v>229.96</v>
      </c>
      <c r="K164" s="11">
        <v>144.41999999999999</v>
      </c>
      <c r="L164" s="8">
        <v>2025</v>
      </c>
      <c r="M164" s="8" t="s">
        <v>32</v>
      </c>
    </row>
    <row r="165" spans="1:13">
      <c r="A165" s="8" t="s">
        <v>229</v>
      </c>
      <c r="B165" s="9">
        <v>45935</v>
      </c>
      <c r="C165" s="8" t="s">
        <v>28</v>
      </c>
      <c r="D165" s="8" t="s">
        <v>43</v>
      </c>
      <c r="E165" s="8" t="s">
        <v>94</v>
      </c>
      <c r="F165" s="8" t="s">
        <v>40</v>
      </c>
      <c r="G165" s="10">
        <v>2</v>
      </c>
      <c r="H165" s="11">
        <v>285.82</v>
      </c>
      <c r="I165" s="11">
        <v>571.64</v>
      </c>
      <c r="J165" s="11">
        <v>344.14</v>
      </c>
      <c r="K165" s="11">
        <v>227.5</v>
      </c>
      <c r="L165" s="8">
        <v>2025</v>
      </c>
      <c r="M165" s="8" t="s">
        <v>58</v>
      </c>
    </row>
    <row r="166" spans="1:13">
      <c r="A166" s="8" t="s">
        <v>230</v>
      </c>
      <c r="B166" s="9">
        <v>45684</v>
      </c>
      <c r="C166" s="8" t="s">
        <v>28</v>
      </c>
      <c r="D166" s="8" t="s">
        <v>38</v>
      </c>
      <c r="E166" s="8" t="s">
        <v>61</v>
      </c>
      <c r="F166" s="8" t="s">
        <v>66</v>
      </c>
      <c r="G166" s="10">
        <v>4</v>
      </c>
      <c r="H166" s="11">
        <v>828.72</v>
      </c>
      <c r="I166" s="11">
        <v>3314.88</v>
      </c>
      <c r="J166" s="11">
        <v>2556.91</v>
      </c>
      <c r="K166" s="11">
        <v>757.97</v>
      </c>
      <c r="L166" s="8">
        <v>2025</v>
      </c>
      <c r="M166" s="8" t="s">
        <v>36</v>
      </c>
    </row>
    <row r="167" spans="1:13">
      <c r="A167" s="8" t="s">
        <v>231</v>
      </c>
      <c r="B167" s="9">
        <v>45806</v>
      </c>
      <c r="C167" s="8" t="s">
        <v>52</v>
      </c>
      <c r="D167" s="8" t="s">
        <v>29</v>
      </c>
      <c r="E167" s="8" t="s">
        <v>35</v>
      </c>
      <c r="F167" s="8" t="s">
        <v>53</v>
      </c>
      <c r="G167" s="10">
        <v>8</v>
      </c>
      <c r="H167" s="11">
        <v>42.02</v>
      </c>
      <c r="I167" s="11">
        <v>336.16</v>
      </c>
      <c r="J167" s="11">
        <v>145.13</v>
      </c>
      <c r="K167" s="11">
        <v>191.03</v>
      </c>
      <c r="L167" s="8">
        <v>2025</v>
      </c>
      <c r="M167" s="8" t="s">
        <v>50</v>
      </c>
    </row>
    <row r="168" spans="1:13">
      <c r="A168" s="8" t="s">
        <v>232</v>
      </c>
      <c r="B168" s="9">
        <v>46232</v>
      </c>
      <c r="C168" s="8" t="s">
        <v>56</v>
      </c>
      <c r="D168" s="8" t="s">
        <v>38</v>
      </c>
      <c r="E168" s="8" t="s">
        <v>61</v>
      </c>
      <c r="F168" s="8" t="s">
        <v>40</v>
      </c>
      <c r="G168" s="10">
        <v>2</v>
      </c>
      <c r="H168" s="11">
        <v>1059.25</v>
      </c>
      <c r="I168" s="11">
        <v>2118.5</v>
      </c>
      <c r="J168" s="11">
        <v>1660.97</v>
      </c>
      <c r="K168" s="11">
        <v>457.53</v>
      </c>
      <c r="L168" s="8">
        <v>2026</v>
      </c>
      <c r="M168" s="8" t="s">
        <v>69</v>
      </c>
    </row>
    <row r="169" spans="1:13">
      <c r="A169" s="8" t="s">
        <v>233</v>
      </c>
      <c r="B169" s="9">
        <v>45937</v>
      </c>
      <c r="C169" s="8" t="s">
        <v>52</v>
      </c>
      <c r="D169" s="8" t="s">
        <v>43</v>
      </c>
      <c r="E169" s="8" t="s">
        <v>57</v>
      </c>
      <c r="F169" s="8" t="s">
        <v>74</v>
      </c>
      <c r="G169" s="10">
        <v>2</v>
      </c>
      <c r="H169" s="11">
        <v>447.49</v>
      </c>
      <c r="I169" s="11">
        <v>894.98</v>
      </c>
      <c r="J169" s="11">
        <v>581.58000000000004</v>
      </c>
      <c r="K169" s="11">
        <v>313.39999999999998</v>
      </c>
      <c r="L169" s="8">
        <v>2025</v>
      </c>
      <c r="M169" s="8" t="s">
        <v>58</v>
      </c>
    </row>
    <row r="170" spans="1:13">
      <c r="A170" s="8" t="s">
        <v>234</v>
      </c>
      <c r="B170" s="9">
        <v>46028</v>
      </c>
      <c r="C170" s="8" t="s">
        <v>52</v>
      </c>
      <c r="D170" s="8" t="s">
        <v>38</v>
      </c>
      <c r="E170" s="8" t="s">
        <v>134</v>
      </c>
      <c r="F170" s="8" t="s">
        <v>45</v>
      </c>
      <c r="G170" s="10">
        <v>4</v>
      </c>
      <c r="H170" s="11">
        <v>298.29000000000002</v>
      </c>
      <c r="I170" s="11">
        <v>1193.1600000000001</v>
      </c>
      <c r="J170" s="11">
        <v>853.6</v>
      </c>
      <c r="K170" s="11">
        <v>339.56</v>
      </c>
      <c r="L170" s="8">
        <v>2026</v>
      </c>
      <c r="M170" s="8" t="s">
        <v>36</v>
      </c>
    </row>
    <row r="171" spans="1:13">
      <c r="A171" s="8" t="s">
        <v>235</v>
      </c>
      <c r="B171" s="9">
        <v>46071</v>
      </c>
      <c r="C171" s="8" t="s">
        <v>28</v>
      </c>
      <c r="D171" s="8" t="s">
        <v>29</v>
      </c>
      <c r="E171" s="8" t="s">
        <v>116</v>
      </c>
      <c r="F171" s="8" t="s">
        <v>45</v>
      </c>
      <c r="G171" s="10">
        <v>11</v>
      </c>
      <c r="H171" s="11">
        <v>15.63</v>
      </c>
      <c r="I171" s="11">
        <v>171.93</v>
      </c>
      <c r="J171" s="11">
        <v>64.98</v>
      </c>
      <c r="K171" s="11">
        <v>106.95</v>
      </c>
      <c r="L171" s="8">
        <v>2026</v>
      </c>
      <c r="M171" s="8" t="s">
        <v>83</v>
      </c>
    </row>
    <row r="172" spans="1:13">
      <c r="A172" s="8" t="s">
        <v>236</v>
      </c>
      <c r="B172" s="9">
        <v>46049</v>
      </c>
      <c r="C172" s="8" t="s">
        <v>52</v>
      </c>
      <c r="D172" s="8" t="s">
        <v>29</v>
      </c>
      <c r="E172" s="8" t="s">
        <v>35</v>
      </c>
      <c r="F172" s="8" t="s">
        <v>53</v>
      </c>
      <c r="G172" s="10">
        <v>10</v>
      </c>
      <c r="H172" s="11">
        <v>50.41</v>
      </c>
      <c r="I172" s="11">
        <v>504.1</v>
      </c>
      <c r="J172" s="11">
        <v>235.76</v>
      </c>
      <c r="K172" s="11">
        <v>268.33999999999997</v>
      </c>
      <c r="L172" s="8">
        <v>2026</v>
      </c>
      <c r="M172" s="8" t="s">
        <v>36</v>
      </c>
    </row>
    <row r="173" spans="1:13">
      <c r="A173" s="8" t="s">
        <v>237</v>
      </c>
      <c r="B173" s="9">
        <v>45737</v>
      </c>
      <c r="C173" s="8" t="s">
        <v>34</v>
      </c>
      <c r="D173" s="8" t="s">
        <v>43</v>
      </c>
      <c r="E173" s="8" t="s">
        <v>44</v>
      </c>
      <c r="F173" s="8" t="s">
        <v>53</v>
      </c>
      <c r="G173" s="10">
        <v>3</v>
      </c>
      <c r="H173" s="11">
        <v>416.81</v>
      </c>
      <c r="I173" s="11">
        <v>1250.43</v>
      </c>
      <c r="J173" s="11">
        <v>816.42</v>
      </c>
      <c r="K173" s="11">
        <v>434.01</v>
      </c>
      <c r="L173" s="8">
        <v>2025</v>
      </c>
      <c r="M173" s="8" t="s">
        <v>77</v>
      </c>
    </row>
    <row r="174" spans="1:13">
      <c r="A174" s="8" t="s">
        <v>238</v>
      </c>
      <c r="B174" s="9">
        <v>45689</v>
      </c>
      <c r="C174" s="8" t="s">
        <v>34</v>
      </c>
      <c r="D174" s="8" t="s">
        <v>38</v>
      </c>
      <c r="E174" s="8" t="s">
        <v>39</v>
      </c>
      <c r="F174" s="8" t="s">
        <v>31</v>
      </c>
      <c r="G174" s="10">
        <v>4</v>
      </c>
      <c r="H174" s="11">
        <v>49.18</v>
      </c>
      <c r="I174" s="11">
        <v>196.72</v>
      </c>
      <c r="J174" s="11">
        <v>84.66</v>
      </c>
      <c r="K174" s="11">
        <v>112.06</v>
      </c>
      <c r="L174" s="8">
        <v>2025</v>
      </c>
      <c r="M174" s="8" t="s">
        <v>83</v>
      </c>
    </row>
    <row r="175" spans="1:13">
      <c r="A175" s="8" t="s">
        <v>239</v>
      </c>
      <c r="B175" s="9">
        <v>45855</v>
      </c>
      <c r="C175" s="8" t="s">
        <v>28</v>
      </c>
      <c r="D175" s="8" t="s">
        <v>29</v>
      </c>
      <c r="E175" s="8" t="s">
        <v>76</v>
      </c>
      <c r="F175" s="8" t="s">
        <v>31</v>
      </c>
      <c r="G175" s="10">
        <v>7</v>
      </c>
      <c r="H175" s="11">
        <v>10.4</v>
      </c>
      <c r="I175" s="11">
        <v>72.8</v>
      </c>
      <c r="J175" s="11">
        <v>27.97</v>
      </c>
      <c r="K175" s="11">
        <v>44.83</v>
      </c>
      <c r="L175" s="8">
        <v>2025</v>
      </c>
      <c r="M175" s="8" t="s">
        <v>69</v>
      </c>
    </row>
    <row r="176" spans="1:13">
      <c r="A176" s="8" t="s">
        <v>240</v>
      </c>
      <c r="B176" s="9">
        <v>46016</v>
      </c>
      <c r="C176" s="8" t="s">
        <v>28</v>
      </c>
      <c r="D176" s="8" t="s">
        <v>38</v>
      </c>
      <c r="E176" s="8" t="s">
        <v>134</v>
      </c>
      <c r="F176" s="8" t="s">
        <v>49</v>
      </c>
      <c r="G176" s="10">
        <v>2</v>
      </c>
      <c r="H176" s="11">
        <v>308.16000000000003</v>
      </c>
      <c r="I176" s="11">
        <v>616.32000000000005</v>
      </c>
      <c r="J176" s="11">
        <v>447.17</v>
      </c>
      <c r="K176" s="11">
        <v>169.15</v>
      </c>
      <c r="L176" s="8">
        <v>2025</v>
      </c>
      <c r="M176" s="8" t="s">
        <v>32</v>
      </c>
    </row>
    <row r="177" spans="1:13">
      <c r="A177" s="8" t="s">
        <v>241</v>
      </c>
      <c r="B177" s="9">
        <v>45718</v>
      </c>
      <c r="C177" s="8" t="s">
        <v>56</v>
      </c>
      <c r="D177" s="8" t="s">
        <v>43</v>
      </c>
      <c r="E177" s="8" t="s">
        <v>65</v>
      </c>
      <c r="F177" s="8" t="s">
        <v>74</v>
      </c>
      <c r="G177" s="10">
        <v>1</v>
      </c>
      <c r="H177" s="11">
        <v>168.21</v>
      </c>
      <c r="I177" s="11">
        <v>168.21</v>
      </c>
      <c r="J177" s="11">
        <v>99.29</v>
      </c>
      <c r="K177" s="11">
        <v>68.92</v>
      </c>
      <c r="L177" s="8">
        <v>2025</v>
      </c>
      <c r="M177" s="8" t="s">
        <v>77</v>
      </c>
    </row>
    <row r="178" spans="1:13">
      <c r="A178" s="8" t="s">
        <v>242</v>
      </c>
      <c r="B178" s="9">
        <v>46038</v>
      </c>
      <c r="C178" s="8" t="s">
        <v>34</v>
      </c>
      <c r="D178" s="8" t="s">
        <v>38</v>
      </c>
      <c r="E178" s="8" t="s">
        <v>61</v>
      </c>
      <c r="F178" s="8" t="s">
        <v>31</v>
      </c>
      <c r="G178" s="10">
        <v>3</v>
      </c>
      <c r="H178" s="11">
        <v>1073.8499999999999</v>
      </c>
      <c r="I178" s="11">
        <v>3221.55</v>
      </c>
      <c r="J178" s="11">
        <v>2348.87</v>
      </c>
      <c r="K178" s="11">
        <v>872.68</v>
      </c>
      <c r="L178" s="8">
        <v>2026</v>
      </c>
      <c r="M178" s="8" t="s">
        <v>36</v>
      </c>
    </row>
    <row r="179" spans="1:13">
      <c r="A179" s="8" t="s">
        <v>243</v>
      </c>
      <c r="B179" s="9">
        <v>46261</v>
      </c>
      <c r="C179" s="8" t="s">
        <v>52</v>
      </c>
      <c r="D179" s="8" t="s">
        <v>38</v>
      </c>
      <c r="E179" s="8" t="s">
        <v>61</v>
      </c>
      <c r="F179" s="8" t="s">
        <v>53</v>
      </c>
      <c r="G179" s="10">
        <v>1</v>
      </c>
      <c r="H179" s="11">
        <v>901.03</v>
      </c>
      <c r="I179" s="11">
        <v>901.03</v>
      </c>
      <c r="J179" s="11">
        <v>669.93</v>
      </c>
      <c r="K179" s="11">
        <v>231.1</v>
      </c>
      <c r="L179" s="8">
        <v>2026</v>
      </c>
      <c r="M179" s="8" t="s">
        <v>62</v>
      </c>
    </row>
    <row r="180" spans="1:13">
      <c r="A180" s="8" t="s">
        <v>244</v>
      </c>
      <c r="B180" s="9">
        <v>45724</v>
      </c>
      <c r="C180" s="8" t="s">
        <v>56</v>
      </c>
      <c r="D180" s="8" t="s">
        <v>38</v>
      </c>
      <c r="E180" s="8" t="s">
        <v>134</v>
      </c>
      <c r="F180" s="8" t="s">
        <v>85</v>
      </c>
      <c r="G180" s="10">
        <v>3</v>
      </c>
      <c r="H180" s="11">
        <v>331.88</v>
      </c>
      <c r="I180" s="11">
        <v>995.64</v>
      </c>
      <c r="J180" s="11">
        <v>691.41</v>
      </c>
      <c r="K180" s="11">
        <v>304.23</v>
      </c>
      <c r="L180" s="8">
        <v>2025</v>
      </c>
      <c r="M180" s="8" t="s">
        <v>77</v>
      </c>
    </row>
    <row r="181" spans="1:13">
      <c r="A181" s="8" t="s">
        <v>245</v>
      </c>
      <c r="B181" s="9">
        <v>45752</v>
      </c>
      <c r="C181" s="8" t="s">
        <v>28</v>
      </c>
      <c r="D181" s="8" t="s">
        <v>29</v>
      </c>
      <c r="E181" s="8" t="s">
        <v>76</v>
      </c>
      <c r="F181" s="8" t="s">
        <v>66</v>
      </c>
      <c r="G181" s="10">
        <v>11</v>
      </c>
      <c r="H181" s="11">
        <v>13.01</v>
      </c>
      <c r="I181" s="11">
        <v>143.11000000000001</v>
      </c>
      <c r="J181" s="11">
        <v>45.89</v>
      </c>
      <c r="K181" s="11">
        <v>97.22</v>
      </c>
      <c r="L181" s="8">
        <v>2025</v>
      </c>
      <c r="M181" s="8" t="s">
        <v>46</v>
      </c>
    </row>
    <row r="182" spans="1:13">
      <c r="A182" s="8" t="s">
        <v>246</v>
      </c>
      <c r="B182" s="9">
        <v>46196</v>
      </c>
      <c r="C182" s="8" t="s">
        <v>34</v>
      </c>
      <c r="D182" s="8" t="s">
        <v>43</v>
      </c>
      <c r="E182" s="8" t="s">
        <v>44</v>
      </c>
      <c r="F182" s="8" t="s">
        <v>49</v>
      </c>
      <c r="G182" s="10">
        <v>4</v>
      </c>
      <c r="H182" s="11">
        <v>422.48</v>
      </c>
      <c r="I182" s="11">
        <v>1689.92</v>
      </c>
      <c r="J182" s="11">
        <v>1013.27</v>
      </c>
      <c r="K182" s="11">
        <v>676.65</v>
      </c>
      <c r="L182" s="8">
        <v>2026</v>
      </c>
      <c r="M182" s="8" t="s">
        <v>54</v>
      </c>
    </row>
    <row r="183" spans="1:13">
      <c r="A183" s="8" t="s">
        <v>247</v>
      </c>
      <c r="B183" s="9">
        <v>46075</v>
      </c>
      <c r="C183" s="8" t="s">
        <v>28</v>
      </c>
      <c r="D183" s="8" t="s">
        <v>43</v>
      </c>
      <c r="E183" s="8" t="s">
        <v>44</v>
      </c>
      <c r="F183" s="8" t="s">
        <v>66</v>
      </c>
      <c r="G183" s="10">
        <v>5</v>
      </c>
      <c r="H183" s="11">
        <v>415.12</v>
      </c>
      <c r="I183" s="11">
        <v>2075.6</v>
      </c>
      <c r="J183" s="11">
        <v>1228.6600000000001</v>
      </c>
      <c r="K183" s="11">
        <v>846.94</v>
      </c>
      <c r="L183" s="8">
        <v>2026</v>
      </c>
      <c r="M183" s="8" t="s">
        <v>83</v>
      </c>
    </row>
    <row r="184" spans="1:13">
      <c r="A184" s="8" t="s">
        <v>248</v>
      </c>
      <c r="B184" s="9">
        <v>46084</v>
      </c>
      <c r="C184" s="8" t="s">
        <v>34</v>
      </c>
      <c r="D184" s="8" t="s">
        <v>29</v>
      </c>
      <c r="E184" s="8" t="s">
        <v>30</v>
      </c>
      <c r="F184" s="8" t="s">
        <v>74</v>
      </c>
      <c r="G184" s="10">
        <v>6</v>
      </c>
      <c r="H184" s="11">
        <v>28.02</v>
      </c>
      <c r="I184" s="11">
        <v>168.12</v>
      </c>
      <c r="J184" s="11">
        <v>76.540000000000006</v>
      </c>
      <c r="K184" s="11">
        <v>91.58</v>
      </c>
      <c r="L184" s="8">
        <v>2026</v>
      </c>
      <c r="M184" s="8" t="s">
        <v>77</v>
      </c>
    </row>
    <row r="185" spans="1:13">
      <c r="A185" s="8" t="s">
        <v>249</v>
      </c>
      <c r="B185" s="9">
        <v>45675</v>
      </c>
      <c r="C185" s="8" t="s">
        <v>34</v>
      </c>
      <c r="D185" s="8" t="s">
        <v>43</v>
      </c>
      <c r="E185" s="8" t="s">
        <v>44</v>
      </c>
      <c r="F185" s="8" t="s">
        <v>74</v>
      </c>
      <c r="G185" s="10">
        <v>1</v>
      </c>
      <c r="H185" s="11">
        <v>449.47</v>
      </c>
      <c r="I185" s="11">
        <v>449.47</v>
      </c>
      <c r="J185" s="11">
        <v>276.14</v>
      </c>
      <c r="K185" s="11">
        <v>173.33</v>
      </c>
      <c r="L185" s="8">
        <v>2025</v>
      </c>
      <c r="M185" s="8" t="s">
        <v>36</v>
      </c>
    </row>
    <row r="186" spans="1:13">
      <c r="A186" s="8" t="s">
        <v>250</v>
      </c>
      <c r="B186" s="9">
        <v>46164</v>
      </c>
      <c r="C186" s="8" t="s">
        <v>56</v>
      </c>
      <c r="D186" s="8" t="s">
        <v>29</v>
      </c>
      <c r="E186" s="8" t="s">
        <v>116</v>
      </c>
      <c r="F186" s="8" t="s">
        <v>40</v>
      </c>
      <c r="G186" s="10">
        <v>6</v>
      </c>
      <c r="H186" s="11">
        <v>17.739999999999998</v>
      </c>
      <c r="I186" s="11">
        <v>106.44</v>
      </c>
      <c r="J186" s="11">
        <v>45.12</v>
      </c>
      <c r="K186" s="11">
        <v>61.32</v>
      </c>
      <c r="L186" s="8">
        <v>2026</v>
      </c>
      <c r="M186" s="8" t="s">
        <v>50</v>
      </c>
    </row>
    <row r="187" spans="1:13">
      <c r="A187" s="8" t="s">
        <v>251</v>
      </c>
      <c r="B187" s="9">
        <v>46187</v>
      </c>
      <c r="C187" s="8" t="s">
        <v>28</v>
      </c>
      <c r="D187" s="8" t="s">
        <v>29</v>
      </c>
      <c r="E187" s="8" t="s">
        <v>76</v>
      </c>
      <c r="F187" s="8" t="s">
        <v>40</v>
      </c>
      <c r="G187" s="10">
        <v>9</v>
      </c>
      <c r="H187" s="11">
        <v>11.53</v>
      </c>
      <c r="I187" s="11">
        <v>103.77</v>
      </c>
      <c r="J187" s="11">
        <v>38.06</v>
      </c>
      <c r="K187" s="11">
        <v>65.709999999999994</v>
      </c>
      <c r="L187" s="8">
        <v>2026</v>
      </c>
      <c r="M187" s="8" t="s">
        <v>54</v>
      </c>
    </row>
    <row r="188" spans="1:13">
      <c r="A188" s="8" t="s">
        <v>252</v>
      </c>
      <c r="B188" s="9">
        <v>45894</v>
      </c>
      <c r="C188" s="8" t="s">
        <v>52</v>
      </c>
      <c r="D188" s="8" t="s">
        <v>43</v>
      </c>
      <c r="E188" s="8" t="s">
        <v>65</v>
      </c>
      <c r="F188" s="8" t="s">
        <v>45</v>
      </c>
      <c r="G188" s="10">
        <v>3</v>
      </c>
      <c r="H188" s="11">
        <v>185.84</v>
      </c>
      <c r="I188" s="11">
        <v>557.52</v>
      </c>
      <c r="J188" s="11">
        <v>309.83</v>
      </c>
      <c r="K188" s="11">
        <v>247.69</v>
      </c>
      <c r="L188" s="8">
        <v>2025</v>
      </c>
      <c r="M188" s="8" t="s">
        <v>62</v>
      </c>
    </row>
    <row r="189" spans="1:13">
      <c r="A189" s="8" t="s">
        <v>253</v>
      </c>
      <c r="B189" s="9">
        <v>45971</v>
      </c>
      <c r="C189" s="8" t="s">
        <v>52</v>
      </c>
      <c r="D189" s="8" t="s">
        <v>38</v>
      </c>
      <c r="E189" s="8" t="s">
        <v>48</v>
      </c>
      <c r="F189" s="8" t="s">
        <v>66</v>
      </c>
      <c r="G189" s="10">
        <v>4</v>
      </c>
      <c r="H189" s="11">
        <v>180.78</v>
      </c>
      <c r="I189" s="11">
        <v>723.12</v>
      </c>
      <c r="J189" s="11">
        <v>460.85</v>
      </c>
      <c r="K189" s="11">
        <v>262.27</v>
      </c>
      <c r="L189" s="8">
        <v>2025</v>
      </c>
      <c r="M189" s="8" t="s">
        <v>41</v>
      </c>
    </row>
    <row r="190" spans="1:13">
      <c r="A190" s="8" t="s">
        <v>254</v>
      </c>
      <c r="B190" s="9">
        <v>45725</v>
      </c>
      <c r="C190" s="8" t="s">
        <v>52</v>
      </c>
      <c r="D190" s="8" t="s">
        <v>29</v>
      </c>
      <c r="E190" s="8" t="s">
        <v>76</v>
      </c>
      <c r="F190" s="8" t="s">
        <v>66</v>
      </c>
      <c r="G190" s="10">
        <v>1</v>
      </c>
      <c r="H190" s="11">
        <v>13.42</v>
      </c>
      <c r="I190" s="11">
        <v>13.42</v>
      </c>
      <c r="J190" s="11">
        <v>5.09</v>
      </c>
      <c r="K190" s="11">
        <v>8.33</v>
      </c>
      <c r="L190" s="8">
        <v>2025</v>
      </c>
      <c r="M190" s="8" t="s">
        <v>77</v>
      </c>
    </row>
    <row r="191" spans="1:13">
      <c r="A191" s="8" t="s">
        <v>255</v>
      </c>
      <c r="B191" s="9">
        <v>46122</v>
      </c>
      <c r="C191" s="8" t="s">
        <v>34</v>
      </c>
      <c r="D191" s="8" t="s">
        <v>29</v>
      </c>
      <c r="E191" s="8" t="s">
        <v>35</v>
      </c>
      <c r="F191" s="8" t="s">
        <v>85</v>
      </c>
      <c r="G191" s="10">
        <v>2</v>
      </c>
      <c r="H191" s="11">
        <v>44.14</v>
      </c>
      <c r="I191" s="11">
        <v>88.28</v>
      </c>
      <c r="J191" s="11">
        <v>37.159999999999997</v>
      </c>
      <c r="K191" s="11">
        <v>51.12</v>
      </c>
      <c r="L191" s="8">
        <v>2026</v>
      </c>
      <c r="M191" s="8" t="s">
        <v>46</v>
      </c>
    </row>
    <row r="192" spans="1:13">
      <c r="A192" s="8" t="s">
        <v>256</v>
      </c>
      <c r="B192" s="9">
        <v>46224</v>
      </c>
      <c r="C192" s="8" t="s">
        <v>34</v>
      </c>
      <c r="D192" s="8" t="s">
        <v>38</v>
      </c>
      <c r="E192" s="8" t="s">
        <v>134</v>
      </c>
      <c r="F192" s="8" t="s">
        <v>74</v>
      </c>
      <c r="G192" s="10">
        <v>1</v>
      </c>
      <c r="H192" s="11">
        <v>338.8</v>
      </c>
      <c r="I192" s="11">
        <v>338.8</v>
      </c>
      <c r="J192" s="11">
        <v>236.12</v>
      </c>
      <c r="K192" s="11">
        <v>102.68</v>
      </c>
      <c r="L192" s="8">
        <v>2026</v>
      </c>
      <c r="M192" s="8" t="s">
        <v>69</v>
      </c>
    </row>
    <row r="193" spans="1:13">
      <c r="A193" s="8" t="s">
        <v>257</v>
      </c>
      <c r="B193" s="9">
        <v>46224</v>
      </c>
      <c r="C193" s="8" t="s">
        <v>34</v>
      </c>
      <c r="D193" s="8" t="s">
        <v>38</v>
      </c>
      <c r="E193" s="8" t="s">
        <v>134</v>
      </c>
      <c r="F193" s="8" t="s">
        <v>49</v>
      </c>
      <c r="G193" s="10">
        <v>3</v>
      </c>
      <c r="H193" s="11">
        <v>335.65</v>
      </c>
      <c r="I193" s="11">
        <v>1006.95</v>
      </c>
      <c r="J193" s="11">
        <v>707.24</v>
      </c>
      <c r="K193" s="11">
        <v>299.70999999999998</v>
      </c>
      <c r="L193" s="8">
        <v>2026</v>
      </c>
      <c r="M193" s="8" t="s">
        <v>69</v>
      </c>
    </row>
    <row r="194" spans="1:13">
      <c r="A194" s="8" t="s">
        <v>258</v>
      </c>
      <c r="B194" s="9">
        <v>46080</v>
      </c>
      <c r="C194" s="8" t="s">
        <v>52</v>
      </c>
      <c r="D194" s="8" t="s">
        <v>29</v>
      </c>
      <c r="E194" s="8" t="s">
        <v>76</v>
      </c>
      <c r="F194" s="8" t="s">
        <v>31</v>
      </c>
      <c r="G194" s="10">
        <v>8</v>
      </c>
      <c r="H194" s="11">
        <v>13.08</v>
      </c>
      <c r="I194" s="11">
        <v>104.64</v>
      </c>
      <c r="J194" s="11">
        <v>41.82</v>
      </c>
      <c r="K194" s="11">
        <v>62.82</v>
      </c>
      <c r="L194" s="8">
        <v>2026</v>
      </c>
      <c r="M194" s="8" t="s">
        <v>83</v>
      </c>
    </row>
    <row r="195" spans="1:13">
      <c r="A195" s="8" t="s">
        <v>259</v>
      </c>
      <c r="B195" s="9">
        <v>45849</v>
      </c>
      <c r="C195" s="8" t="s">
        <v>34</v>
      </c>
      <c r="D195" s="8" t="s">
        <v>43</v>
      </c>
      <c r="E195" s="8" t="s">
        <v>44</v>
      </c>
      <c r="F195" s="8" t="s">
        <v>45</v>
      </c>
      <c r="G195" s="10">
        <v>2</v>
      </c>
      <c r="H195" s="11">
        <v>389.74</v>
      </c>
      <c r="I195" s="11">
        <v>779.48</v>
      </c>
      <c r="J195" s="11">
        <v>474.67</v>
      </c>
      <c r="K195" s="11">
        <v>304.81</v>
      </c>
      <c r="L195" s="8">
        <v>2025</v>
      </c>
      <c r="M195" s="8" t="s">
        <v>69</v>
      </c>
    </row>
    <row r="196" spans="1:13">
      <c r="A196" s="8" t="s">
        <v>260</v>
      </c>
      <c r="B196" s="9">
        <v>45950</v>
      </c>
      <c r="C196" s="8" t="s">
        <v>52</v>
      </c>
      <c r="D196" s="8" t="s">
        <v>38</v>
      </c>
      <c r="E196" s="8" t="s">
        <v>48</v>
      </c>
      <c r="F196" s="8" t="s">
        <v>40</v>
      </c>
      <c r="G196" s="10">
        <v>5</v>
      </c>
      <c r="H196" s="11">
        <v>196.85</v>
      </c>
      <c r="I196" s="11">
        <v>984.25</v>
      </c>
      <c r="J196" s="11">
        <v>602.9</v>
      </c>
      <c r="K196" s="11">
        <v>381.35</v>
      </c>
      <c r="L196" s="8">
        <v>2025</v>
      </c>
      <c r="M196" s="8" t="s">
        <v>58</v>
      </c>
    </row>
    <row r="197" spans="1:13">
      <c r="A197" s="8" t="s">
        <v>261</v>
      </c>
      <c r="B197" s="9">
        <v>45740</v>
      </c>
      <c r="C197" s="8" t="s">
        <v>34</v>
      </c>
      <c r="D197" s="8" t="s">
        <v>29</v>
      </c>
      <c r="E197" s="8" t="s">
        <v>35</v>
      </c>
      <c r="F197" s="8" t="s">
        <v>40</v>
      </c>
      <c r="G197" s="10">
        <v>11</v>
      </c>
      <c r="H197" s="11">
        <v>39.67</v>
      </c>
      <c r="I197" s="11">
        <v>436.37</v>
      </c>
      <c r="J197" s="11">
        <v>196.68</v>
      </c>
      <c r="K197" s="11">
        <v>239.69</v>
      </c>
      <c r="L197" s="8">
        <v>2025</v>
      </c>
      <c r="M197" s="8" t="s">
        <v>77</v>
      </c>
    </row>
    <row r="198" spans="1:13">
      <c r="A198" s="8" t="s">
        <v>262</v>
      </c>
      <c r="B198" s="9">
        <v>46115</v>
      </c>
      <c r="C198" s="8" t="s">
        <v>56</v>
      </c>
      <c r="D198" s="8" t="s">
        <v>43</v>
      </c>
      <c r="E198" s="8" t="s">
        <v>44</v>
      </c>
      <c r="F198" s="8" t="s">
        <v>40</v>
      </c>
      <c r="G198" s="10">
        <v>5</v>
      </c>
      <c r="H198" s="11">
        <v>399.23</v>
      </c>
      <c r="I198" s="11">
        <v>1996.15</v>
      </c>
      <c r="J198" s="11">
        <v>1272.93</v>
      </c>
      <c r="K198" s="11">
        <v>723.22</v>
      </c>
      <c r="L198" s="8">
        <v>2026</v>
      </c>
      <c r="M198" s="8" t="s">
        <v>46</v>
      </c>
    </row>
    <row r="199" spans="1:13">
      <c r="A199" s="8" t="s">
        <v>263</v>
      </c>
      <c r="B199" s="9">
        <v>46086</v>
      </c>
      <c r="C199" s="8" t="s">
        <v>56</v>
      </c>
      <c r="D199" s="8" t="s">
        <v>29</v>
      </c>
      <c r="E199" s="8" t="s">
        <v>116</v>
      </c>
      <c r="F199" s="8" t="s">
        <v>45</v>
      </c>
      <c r="G199" s="10">
        <v>1</v>
      </c>
      <c r="H199" s="11">
        <v>16.2</v>
      </c>
      <c r="I199" s="11">
        <v>16.2</v>
      </c>
      <c r="J199" s="11">
        <v>6.6</v>
      </c>
      <c r="K199" s="11">
        <v>9.6</v>
      </c>
      <c r="L199" s="8">
        <v>2026</v>
      </c>
      <c r="M199" s="8" t="s">
        <v>77</v>
      </c>
    </row>
    <row r="200" spans="1:13">
      <c r="A200" s="8" t="s">
        <v>264</v>
      </c>
      <c r="B200" s="9">
        <v>45915</v>
      </c>
      <c r="C200" s="8" t="s">
        <v>28</v>
      </c>
      <c r="D200" s="8" t="s">
        <v>38</v>
      </c>
      <c r="E200" s="8" t="s">
        <v>48</v>
      </c>
      <c r="F200" s="8" t="s">
        <v>53</v>
      </c>
      <c r="G200" s="10">
        <v>2</v>
      </c>
      <c r="H200" s="11">
        <v>213.64</v>
      </c>
      <c r="I200" s="11">
        <v>427.28</v>
      </c>
      <c r="J200" s="11">
        <v>290.19</v>
      </c>
      <c r="K200" s="11">
        <v>137.09</v>
      </c>
      <c r="L200" s="8">
        <v>2025</v>
      </c>
      <c r="M200" s="8" t="s">
        <v>98</v>
      </c>
    </row>
    <row r="201" spans="1:13">
      <c r="A201" s="8" t="s">
        <v>265</v>
      </c>
      <c r="B201" s="9">
        <v>46015</v>
      </c>
      <c r="C201" s="8" t="s">
        <v>28</v>
      </c>
      <c r="D201" s="8" t="s">
        <v>43</v>
      </c>
      <c r="E201" s="8" t="s">
        <v>94</v>
      </c>
      <c r="F201" s="8" t="s">
        <v>31</v>
      </c>
      <c r="G201" s="10">
        <v>1</v>
      </c>
      <c r="H201" s="11">
        <v>300.43</v>
      </c>
      <c r="I201" s="11">
        <v>300.43</v>
      </c>
      <c r="J201" s="11">
        <v>167.5</v>
      </c>
      <c r="K201" s="11">
        <v>132.93</v>
      </c>
      <c r="L201" s="8">
        <v>2025</v>
      </c>
      <c r="M201" s="8" t="s">
        <v>32</v>
      </c>
    </row>
    <row r="202" spans="1:13">
      <c r="A202" s="8" t="s">
        <v>266</v>
      </c>
      <c r="B202" s="9">
        <v>46004</v>
      </c>
      <c r="C202" s="8" t="s">
        <v>56</v>
      </c>
      <c r="D202" s="8" t="s">
        <v>38</v>
      </c>
      <c r="E202" s="8" t="s">
        <v>134</v>
      </c>
      <c r="F202" s="8" t="s">
        <v>45</v>
      </c>
      <c r="G202" s="10">
        <v>5</v>
      </c>
      <c r="H202" s="11">
        <v>360.73</v>
      </c>
      <c r="I202" s="11">
        <v>1803.65</v>
      </c>
      <c r="J202" s="11">
        <v>1231.9100000000001</v>
      </c>
      <c r="K202" s="11">
        <v>571.74</v>
      </c>
      <c r="L202" s="8">
        <v>2025</v>
      </c>
      <c r="M202" s="8" t="s">
        <v>32</v>
      </c>
    </row>
    <row r="203" spans="1:13">
      <c r="A203" s="8" t="s">
        <v>267</v>
      </c>
      <c r="B203" s="9">
        <v>45946</v>
      </c>
      <c r="C203" s="8" t="s">
        <v>28</v>
      </c>
      <c r="D203" s="8" t="s">
        <v>29</v>
      </c>
      <c r="E203" s="8" t="s">
        <v>116</v>
      </c>
      <c r="F203" s="8" t="s">
        <v>49</v>
      </c>
      <c r="G203" s="10">
        <v>10</v>
      </c>
      <c r="H203" s="11">
        <v>18.62</v>
      </c>
      <c r="I203" s="11">
        <v>186.2</v>
      </c>
      <c r="J203" s="11">
        <v>77.08</v>
      </c>
      <c r="K203" s="11">
        <v>109.12</v>
      </c>
      <c r="L203" s="8">
        <v>2025</v>
      </c>
      <c r="M203" s="8" t="s">
        <v>58</v>
      </c>
    </row>
    <row r="204" spans="1:13">
      <c r="A204" s="8" t="s">
        <v>268</v>
      </c>
      <c r="B204" s="9">
        <v>45966</v>
      </c>
      <c r="C204" s="8" t="s">
        <v>56</v>
      </c>
      <c r="D204" s="8" t="s">
        <v>43</v>
      </c>
      <c r="E204" s="8" t="s">
        <v>65</v>
      </c>
      <c r="F204" s="8" t="s">
        <v>53</v>
      </c>
      <c r="G204" s="10">
        <v>4</v>
      </c>
      <c r="H204" s="11">
        <v>158.9</v>
      </c>
      <c r="I204" s="11">
        <v>635.6</v>
      </c>
      <c r="J204" s="11">
        <v>353.96</v>
      </c>
      <c r="K204" s="11">
        <v>281.64</v>
      </c>
      <c r="L204" s="8">
        <v>2025</v>
      </c>
      <c r="M204" s="8" t="s">
        <v>41</v>
      </c>
    </row>
    <row r="205" spans="1:13">
      <c r="A205" s="8" t="s">
        <v>269</v>
      </c>
      <c r="B205" s="9">
        <v>45783</v>
      </c>
      <c r="C205" s="8" t="s">
        <v>28</v>
      </c>
      <c r="D205" s="8" t="s">
        <v>29</v>
      </c>
      <c r="E205" s="8" t="s">
        <v>116</v>
      </c>
      <c r="F205" s="8" t="s">
        <v>85</v>
      </c>
      <c r="G205" s="10">
        <v>1</v>
      </c>
      <c r="H205" s="11">
        <v>20.440000000000001</v>
      </c>
      <c r="I205" s="11">
        <v>20.440000000000001</v>
      </c>
      <c r="J205" s="11">
        <v>8.69</v>
      </c>
      <c r="K205" s="11">
        <v>11.75</v>
      </c>
      <c r="L205" s="8">
        <v>2025</v>
      </c>
      <c r="M205" s="8" t="s">
        <v>50</v>
      </c>
    </row>
    <row r="206" spans="1:13">
      <c r="A206" s="8" t="s">
        <v>270</v>
      </c>
      <c r="B206" s="9">
        <v>46109</v>
      </c>
      <c r="C206" s="8" t="s">
        <v>56</v>
      </c>
      <c r="D206" s="8" t="s">
        <v>29</v>
      </c>
      <c r="E206" s="8" t="s">
        <v>35</v>
      </c>
      <c r="F206" s="8" t="s">
        <v>45</v>
      </c>
      <c r="G206" s="10">
        <v>4</v>
      </c>
      <c r="H206" s="11">
        <v>43.43</v>
      </c>
      <c r="I206" s="11">
        <v>173.72</v>
      </c>
      <c r="J206" s="11">
        <v>83.28</v>
      </c>
      <c r="K206" s="11">
        <v>90.44</v>
      </c>
      <c r="L206" s="8">
        <v>2026</v>
      </c>
      <c r="M206" s="8" t="s">
        <v>77</v>
      </c>
    </row>
    <row r="207" spans="1:13">
      <c r="A207" s="8" t="s">
        <v>271</v>
      </c>
      <c r="B207" s="9">
        <v>46055</v>
      </c>
      <c r="C207" s="8" t="s">
        <v>34</v>
      </c>
      <c r="D207" s="8" t="s">
        <v>29</v>
      </c>
      <c r="E207" s="8" t="s">
        <v>116</v>
      </c>
      <c r="F207" s="8" t="s">
        <v>66</v>
      </c>
      <c r="G207" s="10">
        <v>5</v>
      </c>
      <c r="H207" s="11">
        <v>17.309999999999999</v>
      </c>
      <c r="I207" s="11">
        <v>86.55</v>
      </c>
      <c r="J207" s="11">
        <v>31.07</v>
      </c>
      <c r="K207" s="11">
        <v>55.48</v>
      </c>
      <c r="L207" s="8">
        <v>2026</v>
      </c>
      <c r="M207" s="8" t="s">
        <v>83</v>
      </c>
    </row>
    <row r="208" spans="1:13">
      <c r="A208" s="8" t="s">
        <v>272</v>
      </c>
      <c r="B208" s="9">
        <v>45976</v>
      </c>
      <c r="C208" s="8" t="s">
        <v>52</v>
      </c>
      <c r="D208" s="8" t="s">
        <v>38</v>
      </c>
      <c r="E208" s="8" t="s">
        <v>61</v>
      </c>
      <c r="F208" s="8" t="s">
        <v>40</v>
      </c>
      <c r="G208" s="10">
        <v>4</v>
      </c>
      <c r="H208" s="11">
        <v>834.67</v>
      </c>
      <c r="I208" s="11">
        <v>3338.68</v>
      </c>
      <c r="J208" s="11">
        <v>2466.64</v>
      </c>
      <c r="K208" s="11">
        <v>872.04</v>
      </c>
      <c r="L208" s="8">
        <v>2025</v>
      </c>
      <c r="M208" s="8" t="s">
        <v>41</v>
      </c>
    </row>
    <row r="209" spans="1:13">
      <c r="A209" s="8" t="s">
        <v>273</v>
      </c>
      <c r="B209" s="9">
        <v>46250</v>
      </c>
      <c r="C209" s="8" t="s">
        <v>28</v>
      </c>
      <c r="D209" s="8" t="s">
        <v>43</v>
      </c>
      <c r="E209" s="8" t="s">
        <v>65</v>
      </c>
      <c r="F209" s="8" t="s">
        <v>85</v>
      </c>
      <c r="G209" s="10">
        <v>4</v>
      </c>
      <c r="H209" s="11">
        <v>166.34</v>
      </c>
      <c r="I209" s="11">
        <v>665.36</v>
      </c>
      <c r="J209" s="11">
        <v>365.42</v>
      </c>
      <c r="K209" s="11">
        <v>299.94</v>
      </c>
      <c r="L209" s="8">
        <v>2026</v>
      </c>
      <c r="M209" s="8" t="s">
        <v>62</v>
      </c>
    </row>
    <row r="210" spans="1:13">
      <c r="A210" s="8" t="s">
        <v>274</v>
      </c>
      <c r="B210" s="9">
        <v>45688</v>
      </c>
      <c r="C210" s="8" t="s">
        <v>56</v>
      </c>
      <c r="D210" s="8" t="s">
        <v>29</v>
      </c>
      <c r="E210" s="8" t="s">
        <v>35</v>
      </c>
      <c r="F210" s="8" t="s">
        <v>74</v>
      </c>
      <c r="G210" s="10">
        <v>1</v>
      </c>
      <c r="H210" s="11">
        <v>44.65</v>
      </c>
      <c r="I210" s="11">
        <v>44.65</v>
      </c>
      <c r="J210" s="11">
        <v>19.489999999999998</v>
      </c>
      <c r="K210" s="11">
        <v>25.16</v>
      </c>
      <c r="L210" s="8">
        <v>2025</v>
      </c>
      <c r="M210" s="8" t="s">
        <v>36</v>
      </c>
    </row>
    <row r="211" spans="1:13">
      <c r="A211" s="8" t="s">
        <v>275</v>
      </c>
      <c r="B211" s="9">
        <v>45950</v>
      </c>
      <c r="C211" s="8" t="s">
        <v>34</v>
      </c>
      <c r="D211" s="8" t="s">
        <v>38</v>
      </c>
      <c r="E211" s="8" t="s">
        <v>48</v>
      </c>
      <c r="F211" s="8" t="s">
        <v>74</v>
      </c>
      <c r="G211" s="10">
        <v>1</v>
      </c>
      <c r="H211" s="11">
        <v>194.7</v>
      </c>
      <c r="I211" s="11">
        <v>194.7</v>
      </c>
      <c r="J211" s="11">
        <v>130.96</v>
      </c>
      <c r="K211" s="11">
        <v>63.74</v>
      </c>
      <c r="L211" s="8">
        <v>2025</v>
      </c>
      <c r="M211" s="8" t="s">
        <v>58</v>
      </c>
    </row>
    <row r="212" spans="1:13">
      <c r="A212" s="8" t="s">
        <v>276</v>
      </c>
      <c r="B212" s="9">
        <v>45706</v>
      </c>
      <c r="C212" s="8" t="s">
        <v>34</v>
      </c>
      <c r="D212" s="8" t="s">
        <v>38</v>
      </c>
      <c r="E212" s="8" t="s">
        <v>134</v>
      </c>
      <c r="F212" s="8" t="s">
        <v>74</v>
      </c>
      <c r="G212" s="10">
        <v>2</v>
      </c>
      <c r="H212" s="11">
        <v>360.35</v>
      </c>
      <c r="I212" s="11">
        <v>720.7</v>
      </c>
      <c r="J212" s="11">
        <v>495.67</v>
      </c>
      <c r="K212" s="11">
        <v>225.03</v>
      </c>
      <c r="L212" s="8">
        <v>2025</v>
      </c>
      <c r="M212" s="8" t="s">
        <v>83</v>
      </c>
    </row>
    <row r="213" spans="1:13">
      <c r="A213" s="8" t="s">
        <v>277</v>
      </c>
      <c r="B213" s="9">
        <v>46001</v>
      </c>
      <c r="C213" s="8" t="s">
        <v>34</v>
      </c>
      <c r="D213" s="8" t="s">
        <v>29</v>
      </c>
      <c r="E213" s="8" t="s">
        <v>76</v>
      </c>
      <c r="F213" s="8" t="s">
        <v>74</v>
      </c>
      <c r="G213" s="10">
        <v>7</v>
      </c>
      <c r="H213" s="11">
        <v>12.37</v>
      </c>
      <c r="I213" s="11">
        <v>86.59</v>
      </c>
      <c r="J213" s="11">
        <v>32.68</v>
      </c>
      <c r="K213" s="11">
        <v>53.91</v>
      </c>
      <c r="L213" s="8">
        <v>2025</v>
      </c>
      <c r="M213" s="8" t="s">
        <v>32</v>
      </c>
    </row>
    <row r="214" spans="1:13">
      <c r="A214" s="8" t="s">
        <v>278</v>
      </c>
      <c r="B214" s="9">
        <v>46062</v>
      </c>
      <c r="C214" s="8" t="s">
        <v>34</v>
      </c>
      <c r="D214" s="8" t="s">
        <v>43</v>
      </c>
      <c r="E214" s="8" t="s">
        <v>57</v>
      </c>
      <c r="F214" s="8" t="s">
        <v>53</v>
      </c>
      <c r="G214" s="10">
        <v>1</v>
      </c>
      <c r="H214" s="11">
        <v>514.04999999999995</v>
      </c>
      <c r="I214" s="11">
        <v>514.04999999999995</v>
      </c>
      <c r="J214" s="11">
        <v>347.84</v>
      </c>
      <c r="K214" s="11">
        <v>166.21</v>
      </c>
      <c r="L214" s="8">
        <v>2026</v>
      </c>
      <c r="M214" s="8" t="s">
        <v>83</v>
      </c>
    </row>
    <row r="215" spans="1:13">
      <c r="A215" s="8" t="s">
        <v>279</v>
      </c>
      <c r="B215" s="9">
        <v>46020</v>
      </c>
      <c r="C215" s="8" t="s">
        <v>28</v>
      </c>
      <c r="D215" s="8" t="s">
        <v>43</v>
      </c>
      <c r="E215" s="8" t="s">
        <v>65</v>
      </c>
      <c r="F215" s="8" t="s">
        <v>74</v>
      </c>
      <c r="G215" s="10">
        <v>4</v>
      </c>
      <c r="H215" s="11">
        <v>191.65</v>
      </c>
      <c r="I215" s="11">
        <v>766.6</v>
      </c>
      <c r="J215" s="11">
        <v>423.21</v>
      </c>
      <c r="K215" s="11">
        <v>343.39</v>
      </c>
      <c r="L215" s="8">
        <v>2025</v>
      </c>
      <c r="M215" s="8" t="s">
        <v>32</v>
      </c>
    </row>
    <row r="216" spans="1:13">
      <c r="A216" s="8" t="s">
        <v>280</v>
      </c>
      <c r="B216" s="9">
        <v>45843</v>
      </c>
      <c r="C216" s="8" t="s">
        <v>52</v>
      </c>
      <c r="D216" s="8" t="s">
        <v>29</v>
      </c>
      <c r="E216" s="8" t="s">
        <v>30</v>
      </c>
      <c r="F216" s="8" t="s">
        <v>66</v>
      </c>
      <c r="G216" s="10">
        <v>3</v>
      </c>
      <c r="H216" s="11">
        <v>27.18</v>
      </c>
      <c r="I216" s="11">
        <v>81.540000000000006</v>
      </c>
      <c r="J216" s="11">
        <v>32.6</v>
      </c>
      <c r="K216" s="11">
        <v>48.94</v>
      </c>
      <c r="L216" s="8">
        <v>2025</v>
      </c>
      <c r="M216" s="8" t="s">
        <v>69</v>
      </c>
    </row>
    <row r="217" spans="1:13">
      <c r="A217" s="8" t="s">
        <v>281</v>
      </c>
      <c r="B217" s="9">
        <v>45923</v>
      </c>
      <c r="C217" s="8" t="s">
        <v>34</v>
      </c>
      <c r="D217" s="8" t="s">
        <v>43</v>
      </c>
      <c r="E217" s="8" t="s">
        <v>65</v>
      </c>
      <c r="F217" s="8" t="s">
        <v>45</v>
      </c>
      <c r="G217" s="10">
        <v>2</v>
      </c>
      <c r="H217" s="11">
        <v>169.79</v>
      </c>
      <c r="I217" s="11">
        <v>339.58</v>
      </c>
      <c r="J217" s="11">
        <v>200.6</v>
      </c>
      <c r="K217" s="11">
        <v>138.97999999999999</v>
      </c>
      <c r="L217" s="8">
        <v>2025</v>
      </c>
      <c r="M217" s="8" t="s">
        <v>98</v>
      </c>
    </row>
    <row r="218" spans="1:13">
      <c r="A218" s="8" t="s">
        <v>282</v>
      </c>
      <c r="B218" s="9">
        <v>46047</v>
      </c>
      <c r="C218" s="8" t="s">
        <v>34</v>
      </c>
      <c r="D218" s="8" t="s">
        <v>43</v>
      </c>
      <c r="E218" s="8" t="s">
        <v>65</v>
      </c>
      <c r="F218" s="8" t="s">
        <v>66</v>
      </c>
      <c r="G218" s="10">
        <v>1</v>
      </c>
      <c r="H218" s="11">
        <v>182.3</v>
      </c>
      <c r="I218" s="11">
        <v>182.3</v>
      </c>
      <c r="J218" s="11">
        <v>102.85</v>
      </c>
      <c r="K218" s="11">
        <v>79.45</v>
      </c>
      <c r="L218" s="8">
        <v>2026</v>
      </c>
      <c r="M218" s="8" t="s">
        <v>36</v>
      </c>
    </row>
    <row r="219" spans="1:13">
      <c r="A219" s="8" t="s">
        <v>283</v>
      </c>
      <c r="B219" s="9">
        <v>46146</v>
      </c>
      <c r="C219" s="8" t="s">
        <v>34</v>
      </c>
      <c r="D219" s="8" t="s">
        <v>38</v>
      </c>
      <c r="E219" s="8" t="s">
        <v>61</v>
      </c>
      <c r="F219" s="8" t="s">
        <v>40</v>
      </c>
      <c r="G219" s="10">
        <v>5</v>
      </c>
      <c r="H219" s="11">
        <v>949.94</v>
      </c>
      <c r="I219" s="11">
        <v>4749.7</v>
      </c>
      <c r="J219" s="11">
        <v>3572.06</v>
      </c>
      <c r="K219" s="11">
        <v>1177.6400000000001</v>
      </c>
      <c r="L219" s="8">
        <v>2026</v>
      </c>
      <c r="M219" s="8" t="s">
        <v>50</v>
      </c>
    </row>
    <row r="220" spans="1:13">
      <c r="A220" s="8" t="s">
        <v>284</v>
      </c>
      <c r="B220" s="9">
        <v>45944</v>
      </c>
      <c r="C220" s="8" t="s">
        <v>52</v>
      </c>
      <c r="D220" s="8" t="s">
        <v>38</v>
      </c>
      <c r="E220" s="8" t="s">
        <v>134</v>
      </c>
      <c r="F220" s="8" t="s">
        <v>53</v>
      </c>
      <c r="G220" s="10">
        <v>2</v>
      </c>
      <c r="H220" s="11">
        <v>360.05</v>
      </c>
      <c r="I220" s="11">
        <v>720.1</v>
      </c>
      <c r="J220" s="11">
        <v>498.52</v>
      </c>
      <c r="K220" s="11">
        <v>221.58</v>
      </c>
      <c r="L220" s="8">
        <v>2025</v>
      </c>
      <c r="M220" s="8" t="s">
        <v>58</v>
      </c>
    </row>
    <row r="221" spans="1:13">
      <c r="A221" s="8" t="s">
        <v>285</v>
      </c>
      <c r="B221" s="9">
        <v>45753</v>
      </c>
      <c r="C221" s="8" t="s">
        <v>52</v>
      </c>
      <c r="D221" s="8" t="s">
        <v>43</v>
      </c>
      <c r="E221" s="8" t="s">
        <v>44</v>
      </c>
      <c r="F221" s="8" t="s">
        <v>66</v>
      </c>
      <c r="G221" s="10">
        <v>4</v>
      </c>
      <c r="H221" s="11">
        <v>396.57</v>
      </c>
      <c r="I221" s="11">
        <v>1586.28</v>
      </c>
      <c r="J221" s="11">
        <v>944.62</v>
      </c>
      <c r="K221" s="11">
        <v>641.66</v>
      </c>
      <c r="L221" s="8">
        <v>2025</v>
      </c>
      <c r="M221" s="8" t="s">
        <v>46</v>
      </c>
    </row>
    <row r="222" spans="1:13">
      <c r="A222" s="8" t="s">
        <v>286</v>
      </c>
      <c r="B222" s="9">
        <v>46167</v>
      </c>
      <c r="C222" s="8" t="s">
        <v>52</v>
      </c>
      <c r="D222" s="8" t="s">
        <v>43</v>
      </c>
      <c r="E222" s="8" t="s">
        <v>57</v>
      </c>
      <c r="F222" s="8" t="s">
        <v>85</v>
      </c>
      <c r="G222" s="10">
        <v>4</v>
      </c>
      <c r="H222" s="11">
        <v>579.74</v>
      </c>
      <c r="I222" s="11">
        <v>2318.96</v>
      </c>
      <c r="J222" s="11">
        <v>1501.14</v>
      </c>
      <c r="K222" s="11">
        <v>817.82</v>
      </c>
      <c r="L222" s="8">
        <v>2026</v>
      </c>
      <c r="M222" s="8" t="s">
        <v>50</v>
      </c>
    </row>
    <row r="223" spans="1:13">
      <c r="A223" s="8" t="s">
        <v>287</v>
      </c>
      <c r="B223" s="9">
        <v>46118</v>
      </c>
      <c r="C223" s="8" t="s">
        <v>56</v>
      </c>
      <c r="D223" s="8" t="s">
        <v>29</v>
      </c>
      <c r="E223" s="8" t="s">
        <v>116</v>
      </c>
      <c r="F223" s="8" t="s">
        <v>66</v>
      </c>
      <c r="G223" s="10">
        <v>5</v>
      </c>
      <c r="H223" s="11">
        <v>16.02</v>
      </c>
      <c r="I223" s="11">
        <v>80.099999999999994</v>
      </c>
      <c r="J223" s="11">
        <v>33.08</v>
      </c>
      <c r="K223" s="11">
        <v>47.02</v>
      </c>
      <c r="L223" s="8">
        <v>2026</v>
      </c>
      <c r="M223" s="8" t="s">
        <v>46</v>
      </c>
    </row>
    <row r="224" spans="1:13">
      <c r="A224" s="8" t="s">
        <v>288</v>
      </c>
      <c r="B224" s="9">
        <v>46203</v>
      </c>
      <c r="C224" s="8" t="s">
        <v>34</v>
      </c>
      <c r="D224" s="8" t="s">
        <v>38</v>
      </c>
      <c r="E224" s="8" t="s">
        <v>134</v>
      </c>
      <c r="F224" s="8" t="s">
        <v>53</v>
      </c>
      <c r="G224" s="10">
        <v>3</v>
      </c>
      <c r="H224" s="11">
        <v>364.35</v>
      </c>
      <c r="I224" s="11">
        <v>1093.05</v>
      </c>
      <c r="J224" s="11">
        <v>761.28</v>
      </c>
      <c r="K224" s="11">
        <v>331.77</v>
      </c>
      <c r="L224" s="8">
        <v>2026</v>
      </c>
      <c r="M224" s="8" t="s">
        <v>54</v>
      </c>
    </row>
    <row r="225" spans="1:13">
      <c r="A225" s="8" t="s">
        <v>289</v>
      </c>
      <c r="B225" s="9">
        <v>46221</v>
      </c>
      <c r="C225" s="8" t="s">
        <v>28</v>
      </c>
      <c r="D225" s="8" t="s">
        <v>43</v>
      </c>
      <c r="E225" s="8" t="s">
        <v>44</v>
      </c>
      <c r="F225" s="8" t="s">
        <v>31</v>
      </c>
      <c r="G225" s="10">
        <v>2</v>
      </c>
      <c r="H225" s="11">
        <v>389.46</v>
      </c>
      <c r="I225" s="11">
        <v>778.92</v>
      </c>
      <c r="J225" s="11">
        <v>484.79</v>
      </c>
      <c r="K225" s="11">
        <v>294.13</v>
      </c>
      <c r="L225" s="8">
        <v>2026</v>
      </c>
      <c r="M225" s="8" t="s">
        <v>69</v>
      </c>
    </row>
    <row r="226" spans="1:13">
      <c r="A226" s="8" t="s">
        <v>290</v>
      </c>
      <c r="B226" s="9">
        <v>46095</v>
      </c>
      <c r="C226" s="8" t="s">
        <v>52</v>
      </c>
      <c r="D226" s="8" t="s">
        <v>38</v>
      </c>
      <c r="E226" s="8" t="s">
        <v>134</v>
      </c>
      <c r="F226" s="8" t="s">
        <v>31</v>
      </c>
      <c r="G226" s="10">
        <v>4</v>
      </c>
      <c r="H226" s="11">
        <v>321.43</v>
      </c>
      <c r="I226" s="11">
        <v>1285.72</v>
      </c>
      <c r="J226" s="11">
        <v>875.22</v>
      </c>
      <c r="K226" s="11">
        <v>410.5</v>
      </c>
      <c r="L226" s="8">
        <v>2026</v>
      </c>
      <c r="M226" s="8" t="s">
        <v>77</v>
      </c>
    </row>
    <row r="227" spans="1:13">
      <c r="A227" s="8" t="s">
        <v>291</v>
      </c>
      <c r="B227" s="9">
        <v>45775</v>
      </c>
      <c r="C227" s="8" t="s">
        <v>34</v>
      </c>
      <c r="D227" s="8" t="s">
        <v>43</v>
      </c>
      <c r="E227" s="8" t="s">
        <v>94</v>
      </c>
      <c r="F227" s="8" t="s">
        <v>45</v>
      </c>
      <c r="G227" s="10">
        <v>1</v>
      </c>
      <c r="H227" s="11">
        <v>249.21</v>
      </c>
      <c r="I227" s="11">
        <v>249.21</v>
      </c>
      <c r="J227" s="11">
        <v>141.94999999999999</v>
      </c>
      <c r="K227" s="11">
        <v>107.26</v>
      </c>
      <c r="L227" s="8">
        <v>2025</v>
      </c>
      <c r="M227" s="8" t="s">
        <v>46</v>
      </c>
    </row>
    <row r="228" spans="1:13">
      <c r="A228" s="8" t="s">
        <v>292</v>
      </c>
      <c r="B228" s="9">
        <v>46029</v>
      </c>
      <c r="C228" s="8" t="s">
        <v>52</v>
      </c>
      <c r="D228" s="8" t="s">
        <v>29</v>
      </c>
      <c r="E228" s="8" t="s">
        <v>35</v>
      </c>
      <c r="F228" s="8" t="s">
        <v>66</v>
      </c>
      <c r="G228" s="10">
        <v>2</v>
      </c>
      <c r="H228" s="11">
        <v>42.3</v>
      </c>
      <c r="I228" s="11">
        <v>84.6</v>
      </c>
      <c r="J228" s="11">
        <v>40.76</v>
      </c>
      <c r="K228" s="11">
        <v>43.84</v>
      </c>
      <c r="L228" s="8">
        <v>2026</v>
      </c>
      <c r="M228" s="8" t="s">
        <v>36</v>
      </c>
    </row>
    <row r="229" spans="1:13">
      <c r="A229" s="8" t="s">
        <v>293</v>
      </c>
      <c r="B229" s="9">
        <v>45988</v>
      </c>
      <c r="C229" s="8" t="s">
        <v>56</v>
      </c>
      <c r="D229" s="8" t="s">
        <v>29</v>
      </c>
      <c r="E229" s="8" t="s">
        <v>30</v>
      </c>
      <c r="F229" s="8" t="s">
        <v>74</v>
      </c>
      <c r="G229" s="10">
        <v>6</v>
      </c>
      <c r="H229" s="11">
        <v>28.13</v>
      </c>
      <c r="I229" s="11">
        <v>168.78</v>
      </c>
      <c r="J229" s="11">
        <v>75.31</v>
      </c>
      <c r="K229" s="11">
        <v>93.47</v>
      </c>
      <c r="L229" s="8">
        <v>2025</v>
      </c>
      <c r="M229" s="8" t="s">
        <v>41</v>
      </c>
    </row>
    <row r="230" spans="1:13">
      <c r="A230" s="8" t="s">
        <v>294</v>
      </c>
      <c r="B230" s="9">
        <v>46071</v>
      </c>
      <c r="C230" s="8" t="s">
        <v>52</v>
      </c>
      <c r="D230" s="8" t="s">
        <v>29</v>
      </c>
      <c r="E230" s="8" t="s">
        <v>116</v>
      </c>
      <c r="F230" s="8" t="s">
        <v>45</v>
      </c>
      <c r="G230" s="10">
        <v>5</v>
      </c>
      <c r="H230" s="11">
        <v>17.96</v>
      </c>
      <c r="I230" s="11">
        <v>89.8</v>
      </c>
      <c r="J230" s="11">
        <v>38.340000000000003</v>
      </c>
      <c r="K230" s="11">
        <v>51.46</v>
      </c>
      <c r="L230" s="8">
        <v>2026</v>
      </c>
      <c r="M230" s="8" t="s">
        <v>83</v>
      </c>
    </row>
    <row r="231" spans="1:13">
      <c r="A231" s="8" t="s">
        <v>295</v>
      </c>
      <c r="B231" s="9">
        <v>46002</v>
      </c>
      <c r="C231" s="8" t="s">
        <v>52</v>
      </c>
      <c r="D231" s="8" t="s">
        <v>29</v>
      </c>
      <c r="E231" s="8" t="s">
        <v>30</v>
      </c>
      <c r="F231" s="8" t="s">
        <v>40</v>
      </c>
      <c r="G231" s="10">
        <v>7</v>
      </c>
      <c r="H231" s="11">
        <v>28.48</v>
      </c>
      <c r="I231" s="11">
        <v>199.36</v>
      </c>
      <c r="J231" s="11">
        <v>90.7</v>
      </c>
      <c r="K231" s="11">
        <v>108.66</v>
      </c>
      <c r="L231" s="8">
        <v>2025</v>
      </c>
      <c r="M231" s="8" t="s">
        <v>32</v>
      </c>
    </row>
    <row r="232" spans="1:13">
      <c r="A232" s="8" t="s">
        <v>296</v>
      </c>
      <c r="B232" s="9">
        <v>46044</v>
      </c>
      <c r="C232" s="8" t="s">
        <v>56</v>
      </c>
      <c r="D232" s="8" t="s">
        <v>38</v>
      </c>
      <c r="E232" s="8" t="s">
        <v>61</v>
      </c>
      <c r="F232" s="8" t="s">
        <v>40</v>
      </c>
      <c r="G232" s="10">
        <v>1</v>
      </c>
      <c r="H232" s="11">
        <v>905.85</v>
      </c>
      <c r="I232" s="11">
        <v>905.85</v>
      </c>
      <c r="J232" s="11">
        <v>699.76</v>
      </c>
      <c r="K232" s="11">
        <v>206.09</v>
      </c>
      <c r="L232" s="8">
        <v>2026</v>
      </c>
      <c r="M232" s="8" t="s">
        <v>36</v>
      </c>
    </row>
    <row r="233" spans="1:13">
      <c r="A233" s="8" t="s">
        <v>297</v>
      </c>
      <c r="B233" s="9">
        <v>45835</v>
      </c>
      <c r="C233" s="8" t="s">
        <v>52</v>
      </c>
      <c r="D233" s="8" t="s">
        <v>38</v>
      </c>
      <c r="E233" s="8" t="s">
        <v>61</v>
      </c>
      <c r="F233" s="8" t="s">
        <v>45</v>
      </c>
      <c r="G233" s="10">
        <v>4</v>
      </c>
      <c r="H233" s="11">
        <v>820.31</v>
      </c>
      <c r="I233" s="11">
        <v>3281.24</v>
      </c>
      <c r="J233" s="11">
        <v>2459.17</v>
      </c>
      <c r="K233" s="11">
        <v>822.07</v>
      </c>
      <c r="L233" s="8">
        <v>2025</v>
      </c>
      <c r="M233" s="8" t="s">
        <v>54</v>
      </c>
    </row>
    <row r="234" spans="1:13">
      <c r="A234" s="8" t="s">
        <v>298</v>
      </c>
      <c r="B234" s="9">
        <v>46163</v>
      </c>
      <c r="C234" s="8" t="s">
        <v>52</v>
      </c>
      <c r="D234" s="8" t="s">
        <v>38</v>
      </c>
      <c r="E234" s="8" t="s">
        <v>39</v>
      </c>
      <c r="F234" s="8" t="s">
        <v>85</v>
      </c>
      <c r="G234" s="10">
        <v>5</v>
      </c>
      <c r="H234" s="11">
        <v>52.18</v>
      </c>
      <c r="I234" s="11">
        <v>260.89999999999998</v>
      </c>
      <c r="J234" s="11">
        <v>124.43</v>
      </c>
      <c r="K234" s="11">
        <v>136.47</v>
      </c>
      <c r="L234" s="8">
        <v>2026</v>
      </c>
      <c r="M234" s="8" t="s">
        <v>50</v>
      </c>
    </row>
    <row r="235" spans="1:13">
      <c r="A235" s="8" t="s">
        <v>299</v>
      </c>
      <c r="B235" s="9">
        <v>45767</v>
      </c>
      <c r="C235" s="8" t="s">
        <v>52</v>
      </c>
      <c r="D235" s="8" t="s">
        <v>29</v>
      </c>
      <c r="E235" s="8" t="s">
        <v>76</v>
      </c>
      <c r="F235" s="8" t="s">
        <v>66</v>
      </c>
      <c r="G235" s="10">
        <v>8</v>
      </c>
      <c r="H235" s="11">
        <v>12.9</v>
      </c>
      <c r="I235" s="11">
        <v>103.2</v>
      </c>
      <c r="J235" s="11">
        <v>37.39</v>
      </c>
      <c r="K235" s="11">
        <v>65.81</v>
      </c>
      <c r="L235" s="8">
        <v>2025</v>
      </c>
      <c r="M235" s="8" t="s">
        <v>46</v>
      </c>
    </row>
    <row r="236" spans="1:13">
      <c r="A236" s="8" t="s">
        <v>300</v>
      </c>
      <c r="B236" s="9">
        <v>46196</v>
      </c>
      <c r="C236" s="8" t="s">
        <v>52</v>
      </c>
      <c r="D236" s="8" t="s">
        <v>38</v>
      </c>
      <c r="E236" s="8" t="s">
        <v>48</v>
      </c>
      <c r="F236" s="8" t="s">
        <v>74</v>
      </c>
      <c r="G236" s="10">
        <v>5</v>
      </c>
      <c r="H236" s="11">
        <v>218.85</v>
      </c>
      <c r="I236" s="11">
        <v>1094.25</v>
      </c>
      <c r="J236" s="11">
        <v>681.84</v>
      </c>
      <c r="K236" s="11">
        <v>412.41</v>
      </c>
      <c r="L236" s="8">
        <v>2026</v>
      </c>
      <c r="M236" s="8" t="s">
        <v>54</v>
      </c>
    </row>
    <row r="237" spans="1:13">
      <c r="A237" s="8" t="s">
        <v>301</v>
      </c>
      <c r="B237" s="9">
        <v>45950</v>
      </c>
      <c r="C237" s="8" t="s">
        <v>52</v>
      </c>
      <c r="D237" s="8" t="s">
        <v>38</v>
      </c>
      <c r="E237" s="8" t="s">
        <v>61</v>
      </c>
      <c r="F237" s="8" t="s">
        <v>45</v>
      </c>
      <c r="G237" s="10">
        <v>1</v>
      </c>
      <c r="H237" s="11">
        <v>988.31</v>
      </c>
      <c r="I237" s="11">
        <v>988.31</v>
      </c>
      <c r="J237" s="11">
        <v>755.29</v>
      </c>
      <c r="K237" s="11">
        <v>233.02</v>
      </c>
      <c r="L237" s="8">
        <v>2025</v>
      </c>
      <c r="M237" s="8" t="s">
        <v>58</v>
      </c>
    </row>
    <row r="238" spans="1:13">
      <c r="A238" s="8" t="s">
        <v>302</v>
      </c>
      <c r="B238" s="9">
        <v>45911</v>
      </c>
      <c r="C238" s="8" t="s">
        <v>56</v>
      </c>
      <c r="D238" s="8" t="s">
        <v>29</v>
      </c>
      <c r="E238" s="8" t="s">
        <v>35</v>
      </c>
      <c r="F238" s="8" t="s">
        <v>74</v>
      </c>
      <c r="G238" s="10">
        <v>6</v>
      </c>
      <c r="H238" s="11">
        <v>49.88</v>
      </c>
      <c r="I238" s="11">
        <v>299.27999999999997</v>
      </c>
      <c r="J238" s="11">
        <v>127.6</v>
      </c>
      <c r="K238" s="11">
        <v>171.68</v>
      </c>
      <c r="L238" s="8">
        <v>2025</v>
      </c>
      <c r="M238" s="8" t="s">
        <v>98</v>
      </c>
    </row>
    <row r="239" spans="1:13">
      <c r="A239" s="8" t="s">
        <v>303</v>
      </c>
      <c r="B239" s="9">
        <v>45778</v>
      </c>
      <c r="C239" s="8" t="s">
        <v>34</v>
      </c>
      <c r="D239" s="8" t="s">
        <v>43</v>
      </c>
      <c r="E239" s="8" t="s">
        <v>65</v>
      </c>
      <c r="F239" s="8" t="s">
        <v>49</v>
      </c>
      <c r="G239" s="10">
        <v>4</v>
      </c>
      <c r="H239" s="11">
        <v>156.44</v>
      </c>
      <c r="I239" s="11">
        <v>625.76</v>
      </c>
      <c r="J239" s="11">
        <v>337.78</v>
      </c>
      <c r="K239" s="11">
        <v>287.98</v>
      </c>
      <c r="L239" s="8">
        <v>2025</v>
      </c>
      <c r="M239" s="8" t="s">
        <v>50</v>
      </c>
    </row>
    <row r="240" spans="1:13">
      <c r="A240" s="8" t="s">
        <v>304</v>
      </c>
      <c r="B240" s="9">
        <v>45669</v>
      </c>
      <c r="C240" s="8" t="s">
        <v>56</v>
      </c>
      <c r="D240" s="8" t="s">
        <v>29</v>
      </c>
      <c r="E240" s="8" t="s">
        <v>30</v>
      </c>
      <c r="F240" s="8" t="s">
        <v>53</v>
      </c>
      <c r="G240" s="10">
        <v>2</v>
      </c>
      <c r="H240" s="11">
        <v>23.55</v>
      </c>
      <c r="I240" s="11">
        <v>47.1</v>
      </c>
      <c r="J240" s="11">
        <v>19.03</v>
      </c>
      <c r="K240" s="11">
        <v>28.07</v>
      </c>
      <c r="L240" s="8">
        <v>2025</v>
      </c>
      <c r="M240" s="8" t="s">
        <v>36</v>
      </c>
    </row>
    <row r="241" spans="1:13">
      <c r="A241" s="8" t="s">
        <v>305</v>
      </c>
      <c r="B241" s="9">
        <v>46044</v>
      </c>
      <c r="C241" s="8" t="s">
        <v>52</v>
      </c>
      <c r="D241" s="8" t="s">
        <v>43</v>
      </c>
      <c r="E241" s="8" t="s">
        <v>44</v>
      </c>
      <c r="F241" s="8" t="s">
        <v>53</v>
      </c>
      <c r="G241" s="10">
        <v>1</v>
      </c>
      <c r="H241" s="11">
        <v>412.29</v>
      </c>
      <c r="I241" s="11">
        <v>412.29</v>
      </c>
      <c r="J241" s="11">
        <v>241.24</v>
      </c>
      <c r="K241" s="11">
        <v>171.05</v>
      </c>
      <c r="L241" s="8">
        <v>2026</v>
      </c>
      <c r="M241" s="8" t="s">
        <v>36</v>
      </c>
    </row>
    <row r="242" spans="1:13">
      <c r="A242" s="8" t="s">
        <v>306</v>
      </c>
      <c r="B242" s="9">
        <v>45830</v>
      </c>
      <c r="C242" s="8" t="s">
        <v>34</v>
      </c>
      <c r="D242" s="8" t="s">
        <v>38</v>
      </c>
      <c r="E242" s="8" t="s">
        <v>61</v>
      </c>
      <c r="F242" s="8" t="s">
        <v>74</v>
      </c>
      <c r="G242" s="10">
        <v>4</v>
      </c>
      <c r="H242" s="11">
        <v>1008.08</v>
      </c>
      <c r="I242" s="11">
        <v>4032.32</v>
      </c>
      <c r="J242" s="11">
        <v>3020.42</v>
      </c>
      <c r="K242" s="11">
        <v>1011.9</v>
      </c>
      <c r="L242" s="8">
        <v>2025</v>
      </c>
      <c r="M242" s="8" t="s">
        <v>54</v>
      </c>
    </row>
    <row r="243" spans="1:13">
      <c r="A243" s="8" t="s">
        <v>307</v>
      </c>
      <c r="B243" s="9">
        <v>45736</v>
      </c>
      <c r="C243" s="8" t="s">
        <v>28</v>
      </c>
      <c r="D243" s="8" t="s">
        <v>43</v>
      </c>
      <c r="E243" s="8" t="s">
        <v>44</v>
      </c>
      <c r="F243" s="8" t="s">
        <v>74</v>
      </c>
      <c r="G243" s="10">
        <v>1</v>
      </c>
      <c r="H243" s="11">
        <v>473.9</v>
      </c>
      <c r="I243" s="11">
        <v>473.9</v>
      </c>
      <c r="J243" s="11">
        <v>275.29000000000002</v>
      </c>
      <c r="K243" s="11">
        <v>198.61</v>
      </c>
      <c r="L243" s="8">
        <v>2025</v>
      </c>
      <c r="M243" s="8" t="s">
        <v>77</v>
      </c>
    </row>
    <row r="244" spans="1:13">
      <c r="A244" s="8" t="s">
        <v>308</v>
      </c>
      <c r="B244" s="9">
        <v>46117</v>
      </c>
      <c r="C244" s="8" t="s">
        <v>28</v>
      </c>
      <c r="D244" s="8" t="s">
        <v>29</v>
      </c>
      <c r="E244" s="8" t="s">
        <v>35</v>
      </c>
      <c r="F244" s="8" t="s">
        <v>31</v>
      </c>
      <c r="G244" s="10">
        <v>2</v>
      </c>
      <c r="H244" s="11">
        <v>49.09</v>
      </c>
      <c r="I244" s="11">
        <v>98.18</v>
      </c>
      <c r="J244" s="11">
        <v>47.54</v>
      </c>
      <c r="K244" s="11">
        <v>50.64</v>
      </c>
      <c r="L244" s="8">
        <v>2026</v>
      </c>
      <c r="M244" s="8" t="s">
        <v>46</v>
      </c>
    </row>
    <row r="245" spans="1:13">
      <c r="A245" s="8" t="s">
        <v>309</v>
      </c>
      <c r="B245" s="9">
        <v>45995</v>
      </c>
      <c r="C245" s="8" t="s">
        <v>34</v>
      </c>
      <c r="D245" s="8" t="s">
        <v>43</v>
      </c>
      <c r="E245" s="8" t="s">
        <v>65</v>
      </c>
      <c r="F245" s="8" t="s">
        <v>66</v>
      </c>
      <c r="G245" s="10">
        <v>3</v>
      </c>
      <c r="H245" s="11">
        <v>200.48</v>
      </c>
      <c r="I245" s="11">
        <v>601.44000000000005</v>
      </c>
      <c r="J245" s="11">
        <v>341.71</v>
      </c>
      <c r="K245" s="11">
        <v>259.73</v>
      </c>
      <c r="L245" s="8">
        <v>2025</v>
      </c>
      <c r="M245" s="8" t="s">
        <v>32</v>
      </c>
    </row>
    <row r="246" spans="1:13">
      <c r="A246" s="8" t="s">
        <v>310</v>
      </c>
      <c r="B246" s="9">
        <v>45704</v>
      </c>
      <c r="C246" s="8" t="s">
        <v>28</v>
      </c>
      <c r="D246" s="8" t="s">
        <v>29</v>
      </c>
      <c r="E246" s="8" t="s">
        <v>30</v>
      </c>
      <c r="F246" s="8" t="s">
        <v>45</v>
      </c>
      <c r="G246" s="10">
        <v>9</v>
      </c>
      <c r="H246" s="11">
        <v>25.24</v>
      </c>
      <c r="I246" s="11">
        <v>227.16</v>
      </c>
      <c r="J246" s="11">
        <v>100.77</v>
      </c>
      <c r="K246" s="11">
        <v>126.39</v>
      </c>
      <c r="L246" s="8">
        <v>2025</v>
      </c>
      <c r="M246" s="8" t="s">
        <v>83</v>
      </c>
    </row>
    <row r="247" spans="1:13">
      <c r="A247" s="8" t="s">
        <v>311</v>
      </c>
      <c r="B247" s="9">
        <v>46053</v>
      </c>
      <c r="C247" s="8" t="s">
        <v>56</v>
      </c>
      <c r="D247" s="8" t="s">
        <v>43</v>
      </c>
      <c r="E247" s="8" t="s">
        <v>57</v>
      </c>
      <c r="F247" s="8" t="s">
        <v>74</v>
      </c>
      <c r="G247" s="10">
        <v>1</v>
      </c>
      <c r="H247" s="11">
        <v>512.13</v>
      </c>
      <c r="I247" s="11">
        <v>512.13</v>
      </c>
      <c r="J247" s="11">
        <v>345.5</v>
      </c>
      <c r="K247" s="11">
        <v>166.63</v>
      </c>
      <c r="L247" s="8">
        <v>2026</v>
      </c>
      <c r="M247" s="8" t="s">
        <v>36</v>
      </c>
    </row>
    <row r="248" spans="1:13">
      <c r="A248" s="8" t="s">
        <v>312</v>
      </c>
      <c r="B248" s="9">
        <v>45950</v>
      </c>
      <c r="C248" s="8" t="s">
        <v>52</v>
      </c>
      <c r="D248" s="8" t="s">
        <v>38</v>
      </c>
      <c r="E248" s="8" t="s">
        <v>39</v>
      </c>
      <c r="F248" s="8" t="s">
        <v>45</v>
      </c>
      <c r="G248" s="10">
        <v>5</v>
      </c>
      <c r="H248" s="11">
        <v>56.78</v>
      </c>
      <c r="I248" s="11">
        <v>283.89999999999998</v>
      </c>
      <c r="J248" s="11">
        <v>135.99</v>
      </c>
      <c r="K248" s="11">
        <v>147.91</v>
      </c>
      <c r="L248" s="8">
        <v>2025</v>
      </c>
      <c r="M248" s="8" t="s">
        <v>58</v>
      </c>
    </row>
    <row r="249" spans="1:13">
      <c r="A249" s="8" t="s">
        <v>313</v>
      </c>
      <c r="B249" s="9">
        <v>46104</v>
      </c>
      <c r="C249" s="8" t="s">
        <v>52</v>
      </c>
      <c r="D249" s="8" t="s">
        <v>43</v>
      </c>
      <c r="E249" s="8" t="s">
        <v>65</v>
      </c>
      <c r="F249" s="8" t="s">
        <v>31</v>
      </c>
      <c r="G249" s="10">
        <v>4</v>
      </c>
      <c r="H249" s="11">
        <v>202.21</v>
      </c>
      <c r="I249" s="11">
        <v>808.84</v>
      </c>
      <c r="J249" s="11">
        <v>459.76</v>
      </c>
      <c r="K249" s="11">
        <v>349.08</v>
      </c>
      <c r="L249" s="8">
        <v>2026</v>
      </c>
      <c r="M249" s="8" t="s">
        <v>77</v>
      </c>
    </row>
    <row r="250" spans="1:13">
      <c r="A250" s="8" t="s">
        <v>314</v>
      </c>
      <c r="B250" s="9">
        <v>45697</v>
      </c>
      <c r="C250" s="8" t="s">
        <v>52</v>
      </c>
      <c r="D250" s="8" t="s">
        <v>29</v>
      </c>
      <c r="E250" s="8" t="s">
        <v>30</v>
      </c>
      <c r="F250" s="8" t="s">
        <v>85</v>
      </c>
      <c r="G250" s="10">
        <v>1</v>
      </c>
      <c r="H250" s="11">
        <v>24.14</v>
      </c>
      <c r="I250" s="11">
        <v>24.14</v>
      </c>
      <c r="J250" s="11">
        <v>9.99</v>
      </c>
      <c r="K250" s="11">
        <v>14.15</v>
      </c>
      <c r="L250" s="8">
        <v>2025</v>
      </c>
      <c r="M250" s="8" t="s">
        <v>83</v>
      </c>
    </row>
    <row r="251" spans="1:13">
      <c r="A251" s="8" t="s">
        <v>315</v>
      </c>
      <c r="B251" s="9">
        <v>46188</v>
      </c>
      <c r="C251" s="8" t="s">
        <v>28</v>
      </c>
      <c r="D251" s="8" t="s">
        <v>38</v>
      </c>
      <c r="E251" s="8" t="s">
        <v>134</v>
      </c>
      <c r="F251" s="8" t="s">
        <v>53</v>
      </c>
      <c r="G251" s="10">
        <v>1</v>
      </c>
      <c r="H251" s="11">
        <v>341.45</v>
      </c>
      <c r="I251" s="11">
        <v>341.45</v>
      </c>
      <c r="J251" s="11">
        <v>252.44</v>
      </c>
      <c r="K251" s="11">
        <v>89.01</v>
      </c>
      <c r="L251" s="8">
        <v>2026</v>
      </c>
      <c r="M251" s="8" t="s">
        <v>54</v>
      </c>
    </row>
    <row r="252" spans="1:13">
      <c r="A252" s="8" t="s">
        <v>316</v>
      </c>
      <c r="B252" s="9">
        <v>45767</v>
      </c>
      <c r="C252" s="8" t="s">
        <v>34</v>
      </c>
      <c r="D252" s="8" t="s">
        <v>38</v>
      </c>
      <c r="E252" s="8" t="s">
        <v>39</v>
      </c>
      <c r="F252" s="8" t="s">
        <v>85</v>
      </c>
      <c r="G252" s="10">
        <v>5</v>
      </c>
      <c r="H252" s="11">
        <v>57.08</v>
      </c>
      <c r="I252" s="11">
        <v>285.39999999999998</v>
      </c>
      <c r="J252" s="11">
        <v>130.03</v>
      </c>
      <c r="K252" s="11">
        <v>155.37</v>
      </c>
      <c r="L252" s="8">
        <v>2025</v>
      </c>
      <c r="M252" s="8" t="s">
        <v>46</v>
      </c>
    </row>
    <row r="253" spans="1:13">
      <c r="A253" s="8" t="s">
        <v>317</v>
      </c>
      <c r="B253" s="9">
        <v>46195</v>
      </c>
      <c r="C253" s="8" t="s">
        <v>34</v>
      </c>
      <c r="D253" s="8" t="s">
        <v>29</v>
      </c>
      <c r="E253" s="8" t="s">
        <v>116</v>
      </c>
      <c r="F253" s="8" t="s">
        <v>40</v>
      </c>
      <c r="G253" s="10">
        <v>8</v>
      </c>
      <c r="H253" s="11">
        <v>17.739999999999998</v>
      </c>
      <c r="I253" s="11">
        <v>141.91999999999999</v>
      </c>
      <c r="J253" s="11">
        <v>56.88</v>
      </c>
      <c r="K253" s="11">
        <v>85.04</v>
      </c>
      <c r="L253" s="8">
        <v>2026</v>
      </c>
      <c r="M253" s="8" t="s">
        <v>54</v>
      </c>
    </row>
    <row r="254" spans="1:13">
      <c r="A254" s="8" t="s">
        <v>318</v>
      </c>
      <c r="B254" s="9">
        <v>46152</v>
      </c>
      <c r="C254" s="8" t="s">
        <v>34</v>
      </c>
      <c r="D254" s="8" t="s">
        <v>29</v>
      </c>
      <c r="E254" s="8" t="s">
        <v>116</v>
      </c>
      <c r="F254" s="8" t="s">
        <v>85</v>
      </c>
      <c r="G254" s="10">
        <v>3</v>
      </c>
      <c r="H254" s="11">
        <v>18.05</v>
      </c>
      <c r="I254" s="11">
        <v>54.15</v>
      </c>
      <c r="J254" s="11">
        <v>21.21</v>
      </c>
      <c r="K254" s="11">
        <v>32.94</v>
      </c>
      <c r="L254" s="8">
        <v>2026</v>
      </c>
      <c r="M254" s="8" t="s">
        <v>50</v>
      </c>
    </row>
    <row r="255" spans="1:13">
      <c r="A255" s="8" t="s">
        <v>319</v>
      </c>
      <c r="B255" s="9">
        <v>45907</v>
      </c>
      <c r="C255" s="8" t="s">
        <v>28</v>
      </c>
      <c r="D255" s="8" t="s">
        <v>43</v>
      </c>
      <c r="E255" s="8" t="s">
        <v>44</v>
      </c>
      <c r="F255" s="8" t="s">
        <v>49</v>
      </c>
      <c r="G255" s="10">
        <v>5</v>
      </c>
      <c r="H255" s="11">
        <v>364.12</v>
      </c>
      <c r="I255" s="11">
        <v>1820.6</v>
      </c>
      <c r="J255" s="11">
        <v>1189.94</v>
      </c>
      <c r="K255" s="11">
        <v>630.66</v>
      </c>
      <c r="L255" s="8">
        <v>2025</v>
      </c>
      <c r="M255" s="8" t="s">
        <v>98</v>
      </c>
    </row>
    <row r="256" spans="1:13">
      <c r="A256" s="8" t="s">
        <v>320</v>
      </c>
      <c r="B256" s="9">
        <v>46252</v>
      </c>
      <c r="C256" s="8" t="s">
        <v>34</v>
      </c>
      <c r="D256" s="8" t="s">
        <v>29</v>
      </c>
      <c r="E256" s="8" t="s">
        <v>35</v>
      </c>
      <c r="F256" s="8" t="s">
        <v>53</v>
      </c>
      <c r="G256" s="10">
        <v>10</v>
      </c>
      <c r="H256" s="11">
        <v>40.99</v>
      </c>
      <c r="I256" s="11">
        <v>409.9</v>
      </c>
      <c r="J256" s="11">
        <v>196.65</v>
      </c>
      <c r="K256" s="11">
        <v>213.25</v>
      </c>
      <c r="L256" s="8">
        <v>2026</v>
      </c>
      <c r="M256" s="8" t="s">
        <v>62</v>
      </c>
    </row>
    <row r="257" spans="1:13">
      <c r="A257" s="8" t="s">
        <v>321</v>
      </c>
      <c r="B257" s="9">
        <v>45976</v>
      </c>
      <c r="C257" s="8" t="s">
        <v>34</v>
      </c>
      <c r="D257" s="8" t="s">
        <v>43</v>
      </c>
      <c r="E257" s="8" t="s">
        <v>57</v>
      </c>
      <c r="F257" s="8" t="s">
        <v>40</v>
      </c>
      <c r="G257" s="10">
        <v>2</v>
      </c>
      <c r="H257" s="11">
        <v>565.71</v>
      </c>
      <c r="I257" s="11">
        <v>1131.42</v>
      </c>
      <c r="J257" s="11">
        <v>709.72</v>
      </c>
      <c r="K257" s="11">
        <v>421.7</v>
      </c>
      <c r="L257" s="8">
        <v>2025</v>
      </c>
      <c r="M257" s="8" t="s">
        <v>41</v>
      </c>
    </row>
    <row r="258" spans="1:13">
      <c r="A258" s="8" t="s">
        <v>322</v>
      </c>
      <c r="B258" s="9">
        <v>45696</v>
      </c>
      <c r="C258" s="8" t="s">
        <v>56</v>
      </c>
      <c r="D258" s="8" t="s">
        <v>38</v>
      </c>
      <c r="E258" s="8" t="s">
        <v>39</v>
      </c>
      <c r="F258" s="8" t="s">
        <v>31</v>
      </c>
      <c r="G258" s="10">
        <v>5</v>
      </c>
      <c r="H258" s="11">
        <v>58.1</v>
      </c>
      <c r="I258" s="11">
        <v>290.5</v>
      </c>
      <c r="J258" s="11">
        <v>136.25</v>
      </c>
      <c r="K258" s="11">
        <v>154.25</v>
      </c>
      <c r="L258" s="8">
        <v>2025</v>
      </c>
      <c r="M258" s="8" t="s">
        <v>83</v>
      </c>
    </row>
    <row r="259" spans="1:13">
      <c r="A259" s="8" t="s">
        <v>323</v>
      </c>
      <c r="B259" s="9">
        <v>46194</v>
      </c>
      <c r="C259" s="8" t="s">
        <v>52</v>
      </c>
      <c r="D259" s="8" t="s">
        <v>38</v>
      </c>
      <c r="E259" s="8" t="s">
        <v>48</v>
      </c>
      <c r="F259" s="8" t="s">
        <v>74</v>
      </c>
      <c r="G259" s="10">
        <v>5</v>
      </c>
      <c r="H259" s="11">
        <v>219.26</v>
      </c>
      <c r="I259" s="11">
        <v>1096.3</v>
      </c>
      <c r="J259" s="11">
        <v>722.01</v>
      </c>
      <c r="K259" s="11">
        <v>374.29</v>
      </c>
      <c r="L259" s="8">
        <v>2026</v>
      </c>
      <c r="M259" s="8" t="s">
        <v>54</v>
      </c>
    </row>
    <row r="260" spans="1:13">
      <c r="A260" s="8" t="s">
        <v>324</v>
      </c>
      <c r="B260" s="9">
        <v>46183</v>
      </c>
      <c r="C260" s="8" t="s">
        <v>52</v>
      </c>
      <c r="D260" s="8" t="s">
        <v>38</v>
      </c>
      <c r="E260" s="8" t="s">
        <v>48</v>
      </c>
      <c r="F260" s="8" t="s">
        <v>85</v>
      </c>
      <c r="G260" s="10">
        <v>3</v>
      </c>
      <c r="H260" s="11">
        <v>192.79</v>
      </c>
      <c r="I260" s="11">
        <v>578.37</v>
      </c>
      <c r="J260" s="11">
        <v>385.55</v>
      </c>
      <c r="K260" s="11">
        <v>192.82</v>
      </c>
      <c r="L260" s="8">
        <v>2026</v>
      </c>
      <c r="M260" s="8" t="s">
        <v>54</v>
      </c>
    </row>
    <row r="261" spans="1:13">
      <c r="A261" s="8" t="s">
        <v>325</v>
      </c>
      <c r="B261" s="9">
        <v>46197</v>
      </c>
      <c r="C261" s="8" t="s">
        <v>34</v>
      </c>
      <c r="D261" s="8" t="s">
        <v>29</v>
      </c>
      <c r="E261" s="8" t="s">
        <v>76</v>
      </c>
      <c r="F261" s="8" t="s">
        <v>45</v>
      </c>
      <c r="G261" s="10">
        <v>12</v>
      </c>
      <c r="H261" s="11">
        <v>12.07</v>
      </c>
      <c r="I261" s="11">
        <v>144.84</v>
      </c>
      <c r="J261" s="11">
        <v>48.47</v>
      </c>
      <c r="K261" s="11">
        <v>96.37</v>
      </c>
      <c r="L261" s="8">
        <v>2026</v>
      </c>
      <c r="M261" s="8" t="s">
        <v>54</v>
      </c>
    </row>
    <row r="262" spans="1:13">
      <c r="A262" s="8" t="s">
        <v>326</v>
      </c>
      <c r="B262" s="9">
        <v>45987</v>
      </c>
      <c r="C262" s="8" t="s">
        <v>28</v>
      </c>
      <c r="D262" s="8" t="s">
        <v>43</v>
      </c>
      <c r="E262" s="8" t="s">
        <v>44</v>
      </c>
      <c r="F262" s="8" t="s">
        <v>53</v>
      </c>
      <c r="G262" s="10">
        <v>5</v>
      </c>
      <c r="H262" s="11">
        <v>435.57</v>
      </c>
      <c r="I262" s="11">
        <v>2177.85</v>
      </c>
      <c r="J262" s="11">
        <v>1352.33</v>
      </c>
      <c r="K262" s="11">
        <v>825.52</v>
      </c>
      <c r="L262" s="8">
        <v>2025</v>
      </c>
      <c r="M262" s="8" t="s">
        <v>41</v>
      </c>
    </row>
    <row r="263" spans="1:13">
      <c r="A263" s="8" t="s">
        <v>327</v>
      </c>
      <c r="B263" s="9">
        <v>46060</v>
      </c>
      <c r="C263" s="8" t="s">
        <v>28</v>
      </c>
      <c r="D263" s="8" t="s">
        <v>29</v>
      </c>
      <c r="E263" s="8" t="s">
        <v>116</v>
      </c>
      <c r="F263" s="8" t="s">
        <v>49</v>
      </c>
      <c r="G263" s="10">
        <v>6</v>
      </c>
      <c r="H263" s="11">
        <v>15.94</v>
      </c>
      <c r="I263" s="11">
        <v>95.64</v>
      </c>
      <c r="J263" s="11">
        <v>37.74</v>
      </c>
      <c r="K263" s="11">
        <v>57.9</v>
      </c>
      <c r="L263" s="8">
        <v>2026</v>
      </c>
      <c r="M263" s="8" t="s">
        <v>83</v>
      </c>
    </row>
    <row r="264" spans="1:13">
      <c r="A264" s="8" t="s">
        <v>328</v>
      </c>
      <c r="B264" s="9">
        <v>45886</v>
      </c>
      <c r="C264" s="8" t="s">
        <v>56</v>
      </c>
      <c r="D264" s="8" t="s">
        <v>29</v>
      </c>
      <c r="E264" s="8" t="s">
        <v>35</v>
      </c>
      <c r="F264" s="8" t="s">
        <v>74</v>
      </c>
      <c r="G264" s="10">
        <v>6</v>
      </c>
      <c r="H264" s="11">
        <v>40.75</v>
      </c>
      <c r="I264" s="11">
        <v>244.5</v>
      </c>
      <c r="J264" s="11">
        <v>120.39</v>
      </c>
      <c r="K264" s="11">
        <v>124.11</v>
      </c>
      <c r="L264" s="8">
        <v>2025</v>
      </c>
      <c r="M264" s="8" t="s">
        <v>62</v>
      </c>
    </row>
    <row r="265" spans="1:13">
      <c r="A265" s="8" t="s">
        <v>329</v>
      </c>
      <c r="B265" s="9">
        <v>46047</v>
      </c>
      <c r="C265" s="8" t="s">
        <v>56</v>
      </c>
      <c r="D265" s="8" t="s">
        <v>38</v>
      </c>
      <c r="E265" s="8" t="s">
        <v>39</v>
      </c>
      <c r="F265" s="8" t="s">
        <v>53</v>
      </c>
      <c r="G265" s="10">
        <v>3</v>
      </c>
      <c r="H265" s="11">
        <v>54.06</v>
      </c>
      <c r="I265" s="11">
        <v>162.18</v>
      </c>
      <c r="J265" s="11">
        <v>69.16</v>
      </c>
      <c r="K265" s="11">
        <v>93.02</v>
      </c>
      <c r="L265" s="8">
        <v>2026</v>
      </c>
      <c r="M265" s="8" t="s">
        <v>36</v>
      </c>
    </row>
    <row r="266" spans="1:13">
      <c r="A266" s="8" t="s">
        <v>330</v>
      </c>
      <c r="B266" s="9">
        <v>46025</v>
      </c>
      <c r="C266" s="8" t="s">
        <v>52</v>
      </c>
      <c r="D266" s="8" t="s">
        <v>38</v>
      </c>
      <c r="E266" s="8" t="s">
        <v>61</v>
      </c>
      <c r="F266" s="8" t="s">
        <v>85</v>
      </c>
      <c r="G266" s="10">
        <v>5</v>
      </c>
      <c r="H266" s="11">
        <v>958.53</v>
      </c>
      <c r="I266" s="11">
        <v>4792.6499999999996</v>
      </c>
      <c r="J266" s="11">
        <v>3721.33</v>
      </c>
      <c r="K266" s="11">
        <v>1071.32</v>
      </c>
      <c r="L266" s="8">
        <v>2026</v>
      </c>
      <c r="M266" s="8" t="s">
        <v>36</v>
      </c>
    </row>
    <row r="267" spans="1:13">
      <c r="A267" s="8" t="s">
        <v>331</v>
      </c>
      <c r="B267" s="9">
        <v>45677</v>
      </c>
      <c r="C267" s="8" t="s">
        <v>56</v>
      </c>
      <c r="D267" s="8" t="s">
        <v>43</v>
      </c>
      <c r="E267" s="8" t="s">
        <v>94</v>
      </c>
      <c r="F267" s="8" t="s">
        <v>40</v>
      </c>
      <c r="G267" s="10">
        <v>4</v>
      </c>
      <c r="H267" s="11">
        <v>294.86</v>
      </c>
      <c r="I267" s="11">
        <v>1179.44</v>
      </c>
      <c r="J267" s="11">
        <v>715.11</v>
      </c>
      <c r="K267" s="11">
        <v>464.33</v>
      </c>
      <c r="L267" s="8">
        <v>2025</v>
      </c>
      <c r="M267" s="8" t="s">
        <v>36</v>
      </c>
    </row>
    <row r="268" spans="1:13">
      <c r="A268" s="8" t="s">
        <v>332</v>
      </c>
      <c r="B268" s="9">
        <v>45840</v>
      </c>
      <c r="C268" s="8" t="s">
        <v>34</v>
      </c>
      <c r="D268" s="8" t="s">
        <v>38</v>
      </c>
      <c r="E268" s="8" t="s">
        <v>61</v>
      </c>
      <c r="F268" s="8" t="s">
        <v>45</v>
      </c>
      <c r="G268" s="10">
        <v>1</v>
      </c>
      <c r="H268" s="11">
        <v>959.44</v>
      </c>
      <c r="I268" s="11">
        <v>959.44</v>
      </c>
      <c r="J268" s="11">
        <v>763.8</v>
      </c>
      <c r="K268" s="11">
        <v>195.64</v>
      </c>
      <c r="L268" s="8">
        <v>2025</v>
      </c>
      <c r="M268" s="8" t="s">
        <v>69</v>
      </c>
    </row>
    <row r="269" spans="1:13">
      <c r="A269" s="8" t="s">
        <v>333</v>
      </c>
      <c r="B269" s="9">
        <v>45722</v>
      </c>
      <c r="C269" s="8" t="s">
        <v>28</v>
      </c>
      <c r="D269" s="8" t="s">
        <v>43</v>
      </c>
      <c r="E269" s="8" t="s">
        <v>65</v>
      </c>
      <c r="F269" s="8" t="s">
        <v>31</v>
      </c>
      <c r="G269" s="10">
        <v>1</v>
      </c>
      <c r="H269" s="11">
        <v>196.42</v>
      </c>
      <c r="I269" s="11">
        <v>196.42</v>
      </c>
      <c r="J269" s="11">
        <v>108.51</v>
      </c>
      <c r="K269" s="11">
        <v>87.91</v>
      </c>
      <c r="L269" s="8">
        <v>2025</v>
      </c>
      <c r="M269" s="8" t="s">
        <v>77</v>
      </c>
    </row>
    <row r="270" spans="1:13">
      <c r="A270" s="8" t="s">
        <v>334</v>
      </c>
      <c r="B270" s="9">
        <v>46187</v>
      </c>
      <c r="C270" s="8" t="s">
        <v>56</v>
      </c>
      <c r="D270" s="8" t="s">
        <v>43</v>
      </c>
      <c r="E270" s="8" t="s">
        <v>44</v>
      </c>
      <c r="F270" s="8" t="s">
        <v>74</v>
      </c>
      <c r="G270" s="10">
        <v>2</v>
      </c>
      <c r="H270" s="11">
        <v>395.49</v>
      </c>
      <c r="I270" s="11">
        <v>790.98</v>
      </c>
      <c r="J270" s="11">
        <v>502.91</v>
      </c>
      <c r="K270" s="11">
        <v>288.07</v>
      </c>
      <c r="L270" s="8">
        <v>2026</v>
      </c>
      <c r="M270" s="8" t="s">
        <v>54</v>
      </c>
    </row>
    <row r="271" spans="1:13">
      <c r="A271" s="8" t="s">
        <v>335</v>
      </c>
      <c r="B271" s="9">
        <v>45701</v>
      </c>
      <c r="C271" s="8" t="s">
        <v>28</v>
      </c>
      <c r="D271" s="8" t="s">
        <v>38</v>
      </c>
      <c r="E271" s="8" t="s">
        <v>39</v>
      </c>
      <c r="F271" s="8" t="s">
        <v>31</v>
      </c>
      <c r="G271" s="10">
        <v>5</v>
      </c>
      <c r="H271" s="11">
        <v>61.52</v>
      </c>
      <c r="I271" s="11">
        <v>307.60000000000002</v>
      </c>
      <c r="J271" s="11">
        <v>126.37</v>
      </c>
      <c r="K271" s="11">
        <v>181.23</v>
      </c>
      <c r="L271" s="8">
        <v>2025</v>
      </c>
      <c r="M271" s="8" t="s">
        <v>83</v>
      </c>
    </row>
    <row r="272" spans="1:13">
      <c r="A272" s="8" t="s">
        <v>336</v>
      </c>
      <c r="B272" s="9">
        <v>46066</v>
      </c>
      <c r="C272" s="8" t="s">
        <v>28</v>
      </c>
      <c r="D272" s="8" t="s">
        <v>43</v>
      </c>
      <c r="E272" s="8" t="s">
        <v>44</v>
      </c>
      <c r="F272" s="8" t="s">
        <v>53</v>
      </c>
      <c r="G272" s="10">
        <v>2</v>
      </c>
      <c r="H272" s="11">
        <v>420.08</v>
      </c>
      <c r="I272" s="11">
        <v>840.16</v>
      </c>
      <c r="J272" s="11">
        <v>504.23</v>
      </c>
      <c r="K272" s="11">
        <v>335.93</v>
      </c>
      <c r="L272" s="8">
        <v>2026</v>
      </c>
      <c r="M272" s="8" t="s">
        <v>83</v>
      </c>
    </row>
    <row r="273" spans="1:13">
      <c r="A273" s="8" t="s">
        <v>337</v>
      </c>
      <c r="B273" s="9">
        <v>45677</v>
      </c>
      <c r="C273" s="8" t="s">
        <v>28</v>
      </c>
      <c r="D273" s="8" t="s">
        <v>29</v>
      </c>
      <c r="E273" s="8" t="s">
        <v>35</v>
      </c>
      <c r="F273" s="8" t="s">
        <v>85</v>
      </c>
      <c r="G273" s="10">
        <v>1</v>
      </c>
      <c r="H273" s="11">
        <v>51</v>
      </c>
      <c r="I273" s="11">
        <v>51</v>
      </c>
      <c r="J273" s="11">
        <v>21.44</v>
      </c>
      <c r="K273" s="11">
        <v>29.56</v>
      </c>
      <c r="L273" s="8">
        <v>2025</v>
      </c>
      <c r="M273" s="8" t="s">
        <v>36</v>
      </c>
    </row>
    <row r="274" spans="1:13">
      <c r="A274" s="8" t="s">
        <v>338</v>
      </c>
      <c r="B274" s="9">
        <v>45842</v>
      </c>
      <c r="C274" s="8" t="s">
        <v>34</v>
      </c>
      <c r="D274" s="8" t="s">
        <v>29</v>
      </c>
      <c r="E274" s="8" t="s">
        <v>116</v>
      </c>
      <c r="F274" s="8" t="s">
        <v>85</v>
      </c>
      <c r="G274" s="10">
        <v>12</v>
      </c>
      <c r="H274" s="11">
        <v>18.66</v>
      </c>
      <c r="I274" s="11">
        <v>223.92</v>
      </c>
      <c r="J274" s="11">
        <v>90.42</v>
      </c>
      <c r="K274" s="11">
        <v>133.5</v>
      </c>
      <c r="L274" s="8">
        <v>2025</v>
      </c>
      <c r="M274" s="8" t="s">
        <v>69</v>
      </c>
    </row>
    <row r="275" spans="1:13">
      <c r="A275" s="8" t="s">
        <v>339</v>
      </c>
      <c r="B275" s="9">
        <v>46204</v>
      </c>
      <c r="C275" s="8" t="s">
        <v>28</v>
      </c>
      <c r="D275" s="8" t="s">
        <v>38</v>
      </c>
      <c r="E275" s="8" t="s">
        <v>134</v>
      </c>
      <c r="F275" s="8" t="s">
        <v>31</v>
      </c>
      <c r="G275" s="10">
        <v>2</v>
      </c>
      <c r="H275" s="11">
        <v>298.29000000000002</v>
      </c>
      <c r="I275" s="11">
        <v>596.58000000000004</v>
      </c>
      <c r="J275" s="11">
        <v>429.98</v>
      </c>
      <c r="K275" s="11">
        <v>166.6</v>
      </c>
      <c r="L275" s="8">
        <v>2026</v>
      </c>
      <c r="M275" s="8" t="s">
        <v>69</v>
      </c>
    </row>
    <row r="276" spans="1:13">
      <c r="A276" s="8" t="s">
        <v>340</v>
      </c>
      <c r="B276" s="9">
        <v>46050</v>
      </c>
      <c r="C276" s="8" t="s">
        <v>34</v>
      </c>
      <c r="D276" s="8" t="s">
        <v>43</v>
      </c>
      <c r="E276" s="8" t="s">
        <v>57</v>
      </c>
      <c r="F276" s="8" t="s">
        <v>66</v>
      </c>
      <c r="G276" s="10">
        <v>5</v>
      </c>
      <c r="H276" s="11">
        <v>490.16</v>
      </c>
      <c r="I276" s="11">
        <v>2450.8000000000002</v>
      </c>
      <c r="J276" s="11">
        <v>1516.31</v>
      </c>
      <c r="K276" s="11">
        <v>934.49</v>
      </c>
      <c r="L276" s="8">
        <v>2026</v>
      </c>
      <c r="M276" s="8" t="s">
        <v>36</v>
      </c>
    </row>
    <row r="277" spans="1:13">
      <c r="A277" s="8" t="s">
        <v>341</v>
      </c>
      <c r="B277" s="9">
        <v>45712</v>
      </c>
      <c r="C277" s="8" t="s">
        <v>52</v>
      </c>
      <c r="D277" s="8" t="s">
        <v>29</v>
      </c>
      <c r="E277" s="8" t="s">
        <v>76</v>
      </c>
      <c r="F277" s="8" t="s">
        <v>40</v>
      </c>
      <c r="G277" s="10">
        <v>10</v>
      </c>
      <c r="H277" s="11">
        <v>13.59</v>
      </c>
      <c r="I277" s="11">
        <v>135.9</v>
      </c>
      <c r="J277" s="11">
        <v>45.18</v>
      </c>
      <c r="K277" s="11">
        <v>90.72</v>
      </c>
      <c r="L277" s="8">
        <v>2025</v>
      </c>
      <c r="M277" s="8" t="s">
        <v>83</v>
      </c>
    </row>
    <row r="278" spans="1:13">
      <c r="A278" s="8" t="s">
        <v>342</v>
      </c>
      <c r="B278" s="9">
        <v>45882</v>
      </c>
      <c r="C278" s="8" t="s">
        <v>56</v>
      </c>
      <c r="D278" s="8" t="s">
        <v>29</v>
      </c>
      <c r="E278" s="8" t="s">
        <v>35</v>
      </c>
      <c r="F278" s="8" t="s">
        <v>40</v>
      </c>
      <c r="G278" s="10">
        <v>11</v>
      </c>
      <c r="H278" s="11">
        <v>39.96</v>
      </c>
      <c r="I278" s="11">
        <v>439.56</v>
      </c>
      <c r="J278" s="11">
        <v>188.05</v>
      </c>
      <c r="K278" s="11">
        <v>251.51</v>
      </c>
      <c r="L278" s="8">
        <v>2025</v>
      </c>
      <c r="M278" s="8" t="s">
        <v>62</v>
      </c>
    </row>
    <row r="279" spans="1:13">
      <c r="A279" s="8" t="s">
        <v>343</v>
      </c>
      <c r="B279" s="9">
        <v>45734</v>
      </c>
      <c r="C279" s="8" t="s">
        <v>52</v>
      </c>
      <c r="D279" s="8" t="s">
        <v>38</v>
      </c>
      <c r="E279" s="8" t="s">
        <v>61</v>
      </c>
      <c r="F279" s="8" t="s">
        <v>49</v>
      </c>
      <c r="G279" s="10">
        <v>2</v>
      </c>
      <c r="H279" s="11">
        <v>872.15</v>
      </c>
      <c r="I279" s="11">
        <v>1744.3</v>
      </c>
      <c r="J279" s="11">
        <v>1287.0899999999999</v>
      </c>
      <c r="K279" s="11">
        <v>457.21</v>
      </c>
      <c r="L279" s="8">
        <v>2025</v>
      </c>
      <c r="M279" s="8" t="s">
        <v>77</v>
      </c>
    </row>
    <row r="280" spans="1:13">
      <c r="A280" s="8" t="s">
        <v>344</v>
      </c>
      <c r="B280" s="9">
        <v>45661</v>
      </c>
      <c r="C280" s="8" t="s">
        <v>52</v>
      </c>
      <c r="D280" s="8" t="s">
        <v>29</v>
      </c>
      <c r="E280" s="8" t="s">
        <v>30</v>
      </c>
      <c r="F280" s="8" t="s">
        <v>53</v>
      </c>
      <c r="G280" s="10">
        <v>7</v>
      </c>
      <c r="H280" s="11">
        <v>26.34</v>
      </c>
      <c r="I280" s="11">
        <v>184.38</v>
      </c>
      <c r="J280" s="11">
        <v>74.11</v>
      </c>
      <c r="K280" s="11">
        <v>110.27</v>
      </c>
      <c r="L280" s="8">
        <v>2025</v>
      </c>
      <c r="M280" s="8" t="s">
        <v>36</v>
      </c>
    </row>
    <row r="281" spans="1:13">
      <c r="A281" s="8" t="s">
        <v>345</v>
      </c>
      <c r="B281" s="9">
        <v>46036</v>
      </c>
      <c r="C281" s="8" t="s">
        <v>52</v>
      </c>
      <c r="D281" s="8" t="s">
        <v>29</v>
      </c>
      <c r="E281" s="8" t="s">
        <v>30</v>
      </c>
      <c r="F281" s="8" t="s">
        <v>66</v>
      </c>
      <c r="G281" s="10">
        <v>11</v>
      </c>
      <c r="H281" s="11">
        <v>22.35</v>
      </c>
      <c r="I281" s="11">
        <v>245.85</v>
      </c>
      <c r="J281" s="11">
        <v>96.23</v>
      </c>
      <c r="K281" s="11">
        <v>149.62</v>
      </c>
      <c r="L281" s="8">
        <v>2026</v>
      </c>
      <c r="M281" s="8" t="s">
        <v>36</v>
      </c>
    </row>
    <row r="282" spans="1:13">
      <c r="A282" s="8" t="s">
        <v>346</v>
      </c>
      <c r="B282" s="9">
        <v>45796</v>
      </c>
      <c r="C282" s="8" t="s">
        <v>28</v>
      </c>
      <c r="D282" s="8" t="s">
        <v>43</v>
      </c>
      <c r="E282" s="8" t="s">
        <v>65</v>
      </c>
      <c r="F282" s="8" t="s">
        <v>31</v>
      </c>
      <c r="G282" s="10">
        <v>1</v>
      </c>
      <c r="H282" s="11">
        <v>204.17</v>
      </c>
      <c r="I282" s="11">
        <v>204.17</v>
      </c>
      <c r="J282" s="11">
        <v>107.89</v>
      </c>
      <c r="K282" s="11">
        <v>96.28</v>
      </c>
      <c r="L282" s="8">
        <v>2025</v>
      </c>
      <c r="M282" s="8" t="s">
        <v>50</v>
      </c>
    </row>
    <row r="283" spans="1:13">
      <c r="A283" s="8" t="s">
        <v>347</v>
      </c>
      <c r="B283" s="9">
        <v>46044</v>
      </c>
      <c r="C283" s="8" t="s">
        <v>52</v>
      </c>
      <c r="D283" s="8" t="s">
        <v>29</v>
      </c>
      <c r="E283" s="8" t="s">
        <v>116</v>
      </c>
      <c r="F283" s="8" t="s">
        <v>31</v>
      </c>
      <c r="G283" s="10">
        <v>2</v>
      </c>
      <c r="H283" s="11">
        <v>17.02</v>
      </c>
      <c r="I283" s="11">
        <v>34.04</v>
      </c>
      <c r="J283" s="11">
        <v>14.3</v>
      </c>
      <c r="K283" s="11">
        <v>19.739999999999998</v>
      </c>
      <c r="L283" s="8">
        <v>2026</v>
      </c>
      <c r="M283" s="8" t="s">
        <v>36</v>
      </c>
    </row>
    <row r="284" spans="1:13">
      <c r="A284" s="8" t="s">
        <v>348</v>
      </c>
      <c r="B284" s="9">
        <v>45894</v>
      </c>
      <c r="C284" s="8" t="s">
        <v>28</v>
      </c>
      <c r="D284" s="8" t="s">
        <v>29</v>
      </c>
      <c r="E284" s="8" t="s">
        <v>35</v>
      </c>
      <c r="F284" s="8" t="s">
        <v>49</v>
      </c>
      <c r="G284" s="10">
        <v>10</v>
      </c>
      <c r="H284" s="11">
        <v>43.33</v>
      </c>
      <c r="I284" s="11">
        <v>433.3</v>
      </c>
      <c r="J284" s="11">
        <v>201.92</v>
      </c>
      <c r="K284" s="11">
        <v>231.38</v>
      </c>
      <c r="L284" s="8">
        <v>2025</v>
      </c>
      <c r="M284" s="8" t="s">
        <v>62</v>
      </c>
    </row>
    <row r="285" spans="1:13">
      <c r="A285" s="8" t="s">
        <v>349</v>
      </c>
      <c r="B285" s="9">
        <v>45873</v>
      </c>
      <c r="C285" s="8" t="s">
        <v>56</v>
      </c>
      <c r="D285" s="8" t="s">
        <v>29</v>
      </c>
      <c r="E285" s="8" t="s">
        <v>76</v>
      </c>
      <c r="F285" s="8" t="s">
        <v>66</v>
      </c>
      <c r="G285" s="10">
        <v>3</v>
      </c>
      <c r="H285" s="11">
        <v>12.04</v>
      </c>
      <c r="I285" s="11">
        <v>36.119999999999997</v>
      </c>
      <c r="J285" s="11">
        <v>12.61</v>
      </c>
      <c r="K285" s="11">
        <v>23.51</v>
      </c>
      <c r="L285" s="8">
        <v>2025</v>
      </c>
      <c r="M285" s="8" t="s">
        <v>62</v>
      </c>
    </row>
    <row r="286" spans="1:13">
      <c r="A286" s="8" t="s">
        <v>350</v>
      </c>
      <c r="B286" s="9">
        <v>45733</v>
      </c>
      <c r="C286" s="8" t="s">
        <v>28</v>
      </c>
      <c r="D286" s="8" t="s">
        <v>43</v>
      </c>
      <c r="E286" s="8" t="s">
        <v>65</v>
      </c>
      <c r="F286" s="8" t="s">
        <v>40</v>
      </c>
      <c r="G286" s="10">
        <v>1</v>
      </c>
      <c r="H286" s="11">
        <v>172.41</v>
      </c>
      <c r="I286" s="11">
        <v>172.41</v>
      </c>
      <c r="J286" s="11">
        <v>100.46</v>
      </c>
      <c r="K286" s="11">
        <v>71.95</v>
      </c>
      <c r="L286" s="8">
        <v>2025</v>
      </c>
      <c r="M286" s="8" t="s">
        <v>77</v>
      </c>
    </row>
    <row r="287" spans="1:13">
      <c r="A287" s="8" t="s">
        <v>351</v>
      </c>
      <c r="B287" s="9">
        <v>45680</v>
      </c>
      <c r="C287" s="8" t="s">
        <v>52</v>
      </c>
      <c r="D287" s="8" t="s">
        <v>43</v>
      </c>
      <c r="E287" s="8" t="s">
        <v>57</v>
      </c>
      <c r="F287" s="8" t="s">
        <v>40</v>
      </c>
      <c r="G287" s="10">
        <v>4</v>
      </c>
      <c r="H287" s="11">
        <v>575.75</v>
      </c>
      <c r="I287" s="11">
        <v>2303</v>
      </c>
      <c r="J287" s="11">
        <v>1531.81</v>
      </c>
      <c r="K287" s="11">
        <v>771.19</v>
      </c>
      <c r="L287" s="8">
        <v>2025</v>
      </c>
      <c r="M287" s="8" t="s">
        <v>36</v>
      </c>
    </row>
    <row r="288" spans="1:13">
      <c r="A288" s="8" t="s">
        <v>352</v>
      </c>
      <c r="B288" s="9">
        <v>45959</v>
      </c>
      <c r="C288" s="8" t="s">
        <v>34</v>
      </c>
      <c r="D288" s="8" t="s">
        <v>43</v>
      </c>
      <c r="E288" s="8" t="s">
        <v>44</v>
      </c>
      <c r="F288" s="8" t="s">
        <v>74</v>
      </c>
      <c r="G288" s="10">
        <v>1</v>
      </c>
      <c r="H288" s="11">
        <v>465.76</v>
      </c>
      <c r="I288" s="11">
        <v>465.76</v>
      </c>
      <c r="J288" s="11">
        <v>286.92</v>
      </c>
      <c r="K288" s="11">
        <v>178.84</v>
      </c>
      <c r="L288" s="8">
        <v>2025</v>
      </c>
      <c r="M288" s="8" t="s">
        <v>58</v>
      </c>
    </row>
    <row r="289" spans="1:13">
      <c r="A289" s="8" t="s">
        <v>353</v>
      </c>
      <c r="B289" s="9">
        <v>45690</v>
      </c>
      <c r="C289" s="8" t="s">
        <v>28</v>
      </c>
      <c r="D289" s="8" t="s">
        <v>29</v>
      </c>
      <c r="E289" s="8" t="s">
        <v>116</v>
      </c>
      <c r="F289" s="8" t="s">
        <v>66</v>
      </c>
      <c r="G289" s="10">
        <v>7</v>
      </c>
      <c r="H289" s="11">
        <v>16.93</v>
      </c>
      <c r="I289" s="11">
        <v>118.51</v>
      </c>
      <c r="J289" s="11">
        <v>42.96</v>
      </c>
      <c r="K289" s="11">
        <v>75.55</v>
      </c>
      <c r="L289" s="8">
        <v>2025</v>
      </c>
      <c r="M289" s="8" t="s">
        <v>83</v>
      </c>
    </row>
    <row r="290" spans="1:13">
      <c r="A290" s="8" t="s">
        <v>354</v>
      </c>
      <c r="B290" s="9">
        <v>45881</v>
      </c>
      <c r="C290" s="8" t="s">
        <v>28</v>
      </c>
      <c r="D290" s="8" t="s">
        <v>38</v>
      </c>
      <c r="E290" s="8" t="s">
        <v>39</v>
      </c>
      <c r="F290" s="8" t="s">
        <v>31</v>
      </c>
      <c r="G290" s="10">
        <v>4</v>
      </c>
      <c r="H290" s="11">
        <v>61.2</v>
      </c>
      <c r="I290" s="11">
        <v>244.8</v>
      </c>
      <c r="J290" s="11">
        <v>107.07</v>
      </c>
      <c r="K290" s="11">
        <v>137.72999999999999</v>
      </c>
      <c r="L290" s="8">
        <v>2025</v>
      </c>
      <c r="M290" s="8" t="s">
        <v>62</v>
      </c>
    </row>
    <row r="291" spans="1:13">
      <c r="A291" s="8" t="s">
        <v>355</v>
      </c>
      <c r="B291" s="9">
        <v>45908</v>
      </c>
      <c r="C291" s="8" t="s">
        <v>34</v>
      </c>
      <c r="D291" s="8" t="s">
        <v>43</v>
      </c>
      <c r="E291" s="8" t="s">
        <v>94</v>
      </c>
      <c r="F291" s="8" t="s">
        <v>66</v>
      </c>
      <c r="G291" s="10">
        <v>3</v>
      </c>
      <c r="H291" s="11">
        <v>275.10000000000002</v>
      </c>
      <c r="I291" s="11">
        <v>825.3</v>
      </c>
      <c r="J291" s="11">
        <v>508.77</v>
      </c>
      <c r="K291" s="11">
        <v>316.52999999999997</v>
      </c>
      <c r="L291" s="8">
        <v>2025</v>
      </c>
      <c r="M291" s="8" t="s">
        <v>98</v>
      </c>
    </row>
    <row r="292" spans="1:13">
      <c r="A292" s="8" t="s">
        <v>356</v>
      </c>
      <c r="B292" s="9">
        <v>46175</v>
      </c>
      <c r="C292" s="8" t="s">
        <v>56</v>
      </c>
      <c r="D292" s="8" t="s">
        <v>43</v>
      </c>
      <c r="E292" s="8" t="s">
        <v>57</v>
      </c>
      <c r="F292" s="8" t="s">
        <v>66</v>
      </c>
      <c r="G292" s="10">
        <v>2</v>
      </c>
      <c r="H292" s="11">
        <v>536.55999999999995</v>
      </c>
      <c r="I292" s="11">
        <v>1073.1199999999999</v>
      </c>
      <c r="J292" s="11">
        <v>710.95</v>
      </c>
      <c r="K292" s="11">
        <v>362.17</v>
      </c>
      <c r="L292" s="8">
        <v>2026</v>
      </c>
      <c r="M292" s="8" t="s">
        <v>54</v>
      </c>
    </row>
    <row r="293" spans="1:13">
      <c r="A293" s="8" t="s">
        <v>357</v>
      </c>
      <c r="B293" s="9">
        <v>45895</v>
      </c>
      <c r="C293" s="8" t="s">
        <v>56</v>
      </c>
      <c r="D293" s="8" t="s">
        <v>38</v>
      </c>
      <c r="E293" s="8" t="s">
        <v>48</v>
      </c>
      <c r="F293" s="8" t="s">
        <v>40</v>
      </c>
      <c r="G293" s="10">
        <v>1</v>
      </c>
      <c r="H293" s="11">
        <v>211.64</v>
      </c>
      <c r="I293" s="11">
        <v>211.64</v>
      </c>
      <c r="J293" s="11">
        <v>141.52000000000001</v>
      </c>
      <c r="K293" s="11">
        <v>70.12</v>
      </c>
      <c r="L293" s="8">
        <v>2025</v>
      </c>
      <c r="M293" s="8" t="s">
        <v>62</v>
      </c>
    </row>
    <row r="294" spans="1:13">
      <c r="A294" s="8" t="s">
        <v>358</v>
      </c>
      <c r="B294" s="9">
        <v>46041</v>
      </c>
      <c r="C294" s="8" t="s">
        <v>52</v>
      </c>
      <c r="D294" s="8" t="s">
        <v>29</v>
      </c>
      <c r="E294" s="8" t="s">
        <v>116</v>
      </c>
      <c r="F294" s="8" t="s">
        <v>53</v>
      </c>
      <c r="G294" s="10">
        <v>3</v>
      </c>
      <c r="H294" s="11">
        <v>16.899999999999999</v>
      </c>
      <c r="I294" s="11">
        <v>50.7</v>
      </c>
      <c r="J294" s="11">
        <v>19.39</v>
      </c>
      <c r="K294" s="11">
        <v>31.31</v>
      </c>
      <c r="L294" s="8">
        <v>2026</v>
      </c>
      <c r="M294" s="8" t="s">
        <v>36</v>
      </c>
    </row>
    <row r="295" spans="1:13">
      <c r="A295" s="8" t="s">
        <v>359</v>
      </c>
      <c r="B295" s="9">
        <v>45787</v>
      </c>
      <c r="C295" s="8" t="s">
        <v>34</v>
      </c>
      <c r="D295" s="8" t="s">
        <v>38</v>
      </c>
      <c r="E295" s="8" t="s">
        <v>134</v>
      </c>
      <c r="F295" s="8" t="s">
        <v>49</v>
      </c>
      <c r="G295" s="10">
        <v>1</v>
      </c>
      <c r="H295" s="11">
        <v>315.91000000000003</v>
      </c>
      <c r="I295" s="11">
        <v>315.91000000000003</v>
      </c>
      <c r="J295" s="11">
        <v>221.95</v>
      </c>
      <c r="K295" s="11">
        <v>93.96</v>
      </c>
      <c r="L295" s="8">
        <v>2025</v>
      </c>
      <c r="M295" s="8" t="s">
        <v>50</v>
      </c>
    </row>
    <row r="296" spans="1:13">
      <c r="A296" s="8" t="s">
        <v>360</v>
      </c>
      <c r="B296" s="9">
        <v>46201</v>
      </c>
      <c r="C296" s="8" t="s">
        <v>56</v>
      </c>
      <c r="D296" s="8" t="s">
        <v>29</v>
      </c>
      <c r="E296" s="8" t="s">
        <v>76</v>
      </c>
      <c r="F296" s="8" t="s">
        <v>85</v>
      </c>
      <c r="G296" s="10">
        <v>5</v>
      </c>
      <c r="H296" s="11">
        <v>11.37</v>
      </c>
      <c r="I296" s="11">
        <v>56.85</v>
      </c>
      <c r="J296" s="11">
        <v>20.95</v>
      </c>
      <c r="K296" s="11">
        <v>35.9</v>
      </c>
      <c r="L296" s="8">
        <v>2026</v>
      </c>
      <c r="M296" s="8" t="s">
        <v>54</v>
      </c>
    </row>
    <row r="297" spans="1:13">
      <c r="A297" s="8" t="s">
        <v>361</v>
      </c>
      <c r="B297" s="9">
        <v>45942</v>
      </c>
      <c r="C297" s="8" t="s">
        <v>52</v>
      </c>
      <c r="D297" s="8" t="s">
        <v>43</v>
      </c>
      <c r="E297" s="8" t="s">
        <v>94</v>
      </c>
      <c r="F297" s="8" t="s">
        <v>66</v>
      </c>
      <c r="G297" s="10">
        <v>1</v>
      </c>
      <c r="H297" s="11">
        <v>303.61</v>
      </c>
      <c r="I297" s="11">
        <v>303.61</v>
      </c>
      <c r="J297" s="11">
        <v>183.82</v>
      </c>
      <c r="K297" s="11">
        <v>119.79</v>
      </c>
      <c r="L297" s="8">
        <v>2025</v>
      </c>
      <c r="M297" s="8" t="s">
        <v>58</v>
      </c>
    </row>
    <row r="298" spans="1:13">
      <c r="A298" s="8" t="s">
        <v>362</v>
      </c>
      <c r="B298" s="9">
        <v>45917</v>
      </c>
      <c r="C298" s="8" t="s">
        <v>56</v>
      </c>
      <c r="D298" s="8" t="s">
        <v>38</v>
      </c>
      <c r="E298" s="8" t="s">
        <v>48</v>
      </c>
      <c r="F298" s="8" t="s">
        <v>85</v>
      </c>
      <c r="G298" s="10">
        <v>4</v>
      </c>
      <c r="H298" s="11">
        <v>238.79</v>
      </c>
      <c r="I298" s="11">
        <v>955.16</v>
      </c>
      <c r="J298" s="11">
        <v>613.5</v>
      </c>
      <c r="K298" s="11">
        <v>341.66</v>
      </c>
      <c r="L298" s="8">
        <v>2025</v>
      </c>
      <c r="M298" s="8" t="s">
        <v>98</v>
      </c>
    </row>
    <row r="299" spans="1:13">
      <c r="A299" s="8" t="s">
        <v>363</v>
      </c>
      <c r="B299" s="9">
        <v>45908</v>
      </c>
      <c r="C299" s="8" t="s">
        <v>28</v>
      </c>
      <c r="D299" s="8" t="s">
        <v>29</v>
      </c>
      <c r="E299" s="8" t="s">
        <v>30</v>
      </c>
      <c r="F299" s="8" t="s">
        <v>49</v>
      </c>
      <c r="G299" s="10">
        <v>4</v>
      </c>
      <c r="H299" s="11">
        <v>22.33</v>
      </c>
      <c r="I299" s="11">
        <v>89.32</v>
      </c>
      <c r="J299" s="11">
        <v>35.340000000000003</v>
      </c>
      <c r="K299" s="11">
        <v>53.98</v>
      </c>
      <c r="L299" s="8">
        <v>2025</v>
      </c>
      <c r="M299" s="8" t="s">
        <v>98</v>
      </c>
    </row>
    <row r="300" spans="1:13">
      <c r="A300" s="8" t="s">
        <v>364</v>
      </c>
      <c r="B300" s="9">
        <v>45948</v>
      </c>
      <c r="C300" s="8" t="s">
        <v>56</v>
      </c>
      <c r="D300" s="8" t="s">
        <v>38</v>
      </c>
      <c r="E300" s="8" t="s">
        <v>134</v>
      </c>
      <c r="F300" s="8" t="s">
        <v>31</v>
      </c>
      <c r="G300" s="10">
        <v>4</v>
      </c>
      <c r="H300" s="11">
        <v>339.13</v>
      </c>
      <c r="I300" s="11">
        <v>1356.52</v>
      </c>
      <c r="J300" s="11">
        <v>931.69</v>
      </c>
      <c r="K300" s="11">
        <v>424.83</v>
      </c>
      <c r="L300" s="8">
        <v>2025</v>
      </c>
      <c r="M300" s="8" t="s">
        <v>58</v>
      </c>
    </row>
    <row r="301" spans="1:13">
      <c r="A301" s="8" t="s">
        <v>365</v>
      </c>
      <c r="B301" s="9">
        <v>46111</v>
      </c>
      <c r="C301" s="8" t="s">
        <v>28</v>
      </c>
      <c r="D301" s="8" t="s">
        <v>38</v>
      </c>
      <c r="E301" s="8" t="s">
        <v>61</v>
      </c>
      <c r="F301" s="8" t="s">
        <v>74</v>
      </c>
      <c r="G301" s="10">
        <v>4</v>
      </c>
      <c r="H301" s="11">
        <v>1027.8900000000001</v>
      </c>
      <c r="I301" s="11">
        <v>4111.5600000000004</v>
      </c>
      <c r="J301" s="11">
        <v>3203.13</v>
      </c>
      <c r="K301" s="11">
        <v>908.43</v>
      </c>
      <c r="L301" s="8">
        <v>2026</v>
      </c>
      <c r="M301" s="8" t="s">
        <v>77</v>
      </c>
    </row>
    <row r="302" spans="1:13">
      <c r="A302" s="8" t="s">
        <v>366</v>
      </c>
      <c r="B302" s="9">
        <v>46255</v>
      </c>
      <c r="C302" s="8" t="s">
        <v>56</v>
      </c>
      <c r="D302" s="8" t="s">
        <v>38</v>
      </c>
      <c r="E302" s="8" t="s">
        <v>39</v>
      </c>
      <c r="F302" s="8" t="s">
        <v>49</v>
      </c>
      <c r="G302" s="10">
        <v>5</v>
      </c>
      <c r="H302" s="11">
        <v>49.99</v>
      </c>
      <c r="I302" s="11">
        <v>249.95</v>
      </c>
      <c r="J302" s="11">
        <v>105.85</v>
      </c>
      <c r="K302" s="11">
        <v>144.1</v>
      </c>
      <c r="L302" s="8">
        <v>2026</v>
      </c>
      <c r="M302" s="8" t="s">
        <v>62</v>
      </c>
    </row>
    <row r="303" spans="1:13">
      <c r="A303" s="8" t="s">
        <v>367</v>
      </c>
      <c r="B303" s="9">
        <v>45828</v>
      </c>
      <c r="C303" s="8" t="s">
        <v>28</v>
      </c>
      <c r="D303" s="8" t="s">
        <v>43</v>
      </c>
      <c r="E303" s="8" t="s">
        <v>57</v>
      </c>
      <c r="F303" s="8" t="s">
        <v>45</v>
      </c>
      <c r="G303" s="10">
        <v>4</v>
      </c>
      <c r="H303" s="11">
        <v>466.53</v>
      </c>
      <c r="I303" s="11">
        <v>1866.12</v>
      </c>
      <c r="J303" s="11">
        <v>1143</v>
      </c>
      <c r="K303" s="11">
        <v>723.12</v>
      </c>
      <c r="L303" s="8">
        <v>2025</v>
      </c>
      <c r="M303" s="8" t="s">
        <v>54</v>
      </c>
    </row>
    <row r="304" spans="1:13">
      <c r="A304" s="8" t="s">
        <v>368</v>
      </c>
      <c r="B304" s="9">
        <v>45676</v>
      </c>
      <c r="C304" s="8" t="s">
        <v>52</v>
      </c>
      <c r="D304" s="8" t="s">
        <v>29</v>
      </c>
      <c r="E304" s="8" t="s">
        <v>116</v>
      </c>
      <c r="F304" s="8" t="s">
        <v>31</v>
      </c>
      <c r="G304" s="10">
        <v>7</v>
      </c>
      <c r="H304" s="11">
        <v>20.399999999999999</v>
      </c>
      <c r="I304" s="11">
        <v>142.80000000000001</v>
      </c>
      <c r="J304" s="11">
        <v>53.81</v>
      </c>
      <c r="K304" s="11">
        <v>88.99</v>
      </c>
      <c r="L304" s="8">
        <v>2025</v>
      </c>
      <c r="M304" s="8" t="s">
        <v>36</v>
      </c>
    </row>
    <row r="305" spans="1:13">
      <c r="A305" s="8" t="s">
        <v>369</v>
      </c>
      <c r="B305" s="9">
        <v>45886</v>
      </c>
      <c r="C305" s="8" t="s">
        <v>52</v>
      </c>
      <c r="D305" s="8" t="s">
        <v>43</v>
      </c>
      <c r="E305" s="8" t="s">
        <v>65</v>
      </c>
      <c r="F305" s="8" t="s">
        <v>66</v>
      </c>
      <c r="G305" s="10">
        <v>2</v>
      </c>
      <c r="H305" s="11">
        <v>184.42</v>
      </c>
      <c r="I305" s="11">
        <v>368.84</v>
      </c>
      <c r="J305" s="11">
        <v>207.87</v>
      </c>
      <c r="K305" s="11">
        <v>160.97</v>
      </c>
      <c r="L305" s="8">
        <v>2025</v>
      </c>
      <c r="M305" s="8" t="s">
        <v>62</v>
      </c>
    </row>
    <row r="306" spans="1:13">
      <c r="A306" s="8" t="s">
        <v>370</v>
      </c>
      <c r="B306" s="9">
        <v>46216</v>
      </c>
      <c r="C306" s="8" t="s">
        <v>34</v>
      </c>
      <c r="D306" s="8" t="s">
        <v>38</v>
      </c>
      <c r="E306" s="8" t="s">
        <v>48</v>
      </c>
      <c r="F306" s="8" t="s">
        <v>45</v>
      </c>
      <c r="G306" s="10">
        <v>5</v>
      </c>
      <c r="H306" s="11">
        <v>229.74</v>
      </c>
      <c r="I306" s="11">
        <v>1148.7</v>
      </c>
      <c r="J306" s="11">
        <v>734.34</v>
      </c>
      <c r="K306" s="11">
        <v>414.36</v>
      </c>
      <c r="L306" s="8">
        <v>2026</v>
      </c>
      <c r="M306" s="8" t="s">
        <v>69</v>
      </c>
    </row>
    <row r="307" spans="1:13">
      <c r="A307" s="8" t="s">
        <v>371</v>
      </c>
      <c r="B307" s="9">
        <v>45893</v>
      </c>
      <c r="C307" s="8" t="s">
        <v>34</v>
      </c>
      <c r="D307" s="8" t="s">
        <v>29</v>
      </c>
      <c r="E307" s="8" t="s">
        <v>116</v>
      </c>
      <c r="F307" s="8" t="s">
        <v>85</v>
      </c>
      <c r="G307" s="10">
        <v>1</v>
      </c>
      <c r="H307" s="11">
        <v>20.21</v>
      </c>
      <c r="I307" s="11">
        <v>20.21</v>
      </c>
      <c r="J307" s="11">
        <v>7.09</v>
      </c>
      <c r="K307" s="11">
        <v>13.12</v>
      </c>
      <c r="L307" s="8">
        <v>2025</v>
      </c>
      <c r="M307" s="8" t="s">
        <v>62</v>
      </c>
    </row>
    <row r="308" spans="1:13">
      <c r="A308" s="8" t="s">
        <v>372</v>
      </c>
      <c r="B308" s="9">
        <v>46244</v>
      </c>
      <c r="C308" s="8" t="s">
        <v>28</v>
      </c>
      <c r="D308" s="8" t="s">
        <v>29</v>
      </c>
      <c r="E308" s="8" t="s">
        <v>35</v>
      </c>
      <c r="F308" s="8" t="s">
        <v>85</v>
      </c>
      <c r="G308" s="10">
        <v>10</v>
      </c>
      <c r="H308" s="11">
        <v>41.77</v>
      </c>
      <c r="I308" s="11">
        <v>417.7</v>
      </c>
      <c r="J308" s="11">
        <v>203.71</v>
      </c>
      <c r="K308" s="11">
        <v>213.99</v>
      </c>
      <c r="L308" s="8">
        <v>2026</v>
      </c>
      <c r="M308" s="8" t="s">
        <v>62</v>
      </c>
    </row>
    <row r="309" spans="1:13">
      <c r="A309" s="8" t="s">
        <v>373</v>
      </c>
      <c r="B309" s="9">
        <v>45750</v>
      </c>
      <c r="C309" s="8" t="s">
        <v>52</v>
      </c>
      <c r="D309" s="8" t="s">
        <v>38</v>
      </c>
      <c r="E309" s="8" t="s">
        <v>39</v>
      </c>
      <c r="F309" s="8" t="s">
        <v>45</v>
      </c>
      <c r="G309" s="10">
        <v>3</v>
      </c>
      <c r="H309" s="11">
        <v>54.71</v>
      </c>
      <c r="I309" s="11">
        <v>164.13</v>
      </c>
      <c r="J309" s="11">
        <v>78.11</v>
      </c>
      <c r="K309" s="11">
        <v>86.02</v>
      </c>
      <c r="L309" s="8">
        <v>2025</v>
      </c>
      <c r="M309" s="8" t="s">
        <v>46</v>
      </c>
    </row>
    <row r="310" spans="1:13">
      <c r="A310" s="8" t="s">
        <v>374</v>
      </c>
      <c r="B310" s="9">
        <v>45887</v>
      </c>
      <c r="C310" s="8" t="s">
        <v>34</v>
      </c>
      <c r="D310" s="8" t="s">
        <v>38</v>
      </c>
      <c r="E310" s="8" t="s">
        <v>48</v>
      </c>
      <c r="F310" s="8" t="s">
        <v>40</v>
      </c>
      <c r="G310" s="10">
        <v>3</v>
      </c>
      <c r="H310" s="11">
        <v>194.56</v>
      </c>
      <c r="I310" s="11">
        <v>583.67999999999995</v>
      </c>
      <c r="J310" s="11">
        <v>360.61</v>
      </c>
      <c r="K310" s="11">
        <v>223.07</v>
      </c>
      <c r="L310" s="8">
        <v>2025</v>
      </c>
      <c r="M310" s="8" t="s">
        <v>62</v>
      </c>
    </row>
    <row r="311" spans="1:13">
      <c r="A311" s="8" t="s">
        <v>375</v>
      </c>
      <c r="B311" s="9">
        <v>46074</v>
      </c>
      <c r="C311" s="8" t="s">
        <v>34</v>
      </c>
      <c r="D311" s="8" t="s">
        <v>38</v>
      </c>
      <c r="E311" s="8" t="s">
        <v>39</v>
      </c>
      <c r="F311" s="8" t="s">
        <v>45</v>
      </c>
      <c r="G311" s="10">
        <v>5</v>
      </c>
      <c r="H311" s="11">
        <v>62.26</v>
      </c>
      <c r="I311" s="11">
        <v>311.3</v>
      </c>
      <c r="J311" s="11">
        <v>142.05000000000001</v>
      </c>
      <c r="K311" s="11">
        <v>169.25</v>
      </c>
      <c r="L311" s="8">
        <v>2026</v>
      </c>
      <c r="M311" s="8" t="s">
        <v>83</v>
      </c>
    </row>
    <row r="312" spans="1:13">
      <c r="A312" s="8" t="s">
        <v>376</v>
      </c>
      <c r="B312" s="9">
        <v>45717</v>
      </c>
      <c r="C312" s="8" t="s">
        <v>52</v>
      </c>
      <c r="D312" s="8" t="s">
        <v>43</v>
      </c>
      <c r="E312" s="8" t="s">
        <v>65</v>
      </c>
      <c r="F312" s="8" t="s">
        <v>49</v>
      </c>
      <c r="G312" s="10">
        <v>1</v>
      </c>
      <c r="H312" s="11">
        <v>191.05</v>
      </c>
      <c r="I312" s="11">
        <v>191.05</v>
      </c>
      <c r="J312" s="11">
        <v>106.77</v>
      </c>
      <c r="K312" s="11">
        <v>84.28</v>
      </c>
      <c r="L312" s="8">
        <v>2025</v>
      </c>
      <c r="M312" s="8" t="s">
        <v>77</v>
      </c>
    </row>
    <row r="313" spans="1:13">
      <c r="A313" s="8" t="s">
        <v>377</v>
      </c>
      <c r="B313" s="9">
        <v>46004</v>
      </c>
      <c r="C313" s="8" t="s">
        <v>28</v>
      </c>
      <c r="D313" s="8" t="s">
        <v>29</v>
      </c>
      <c r="E313" s="8" t="s">
        <v>76</v>
      </c>
      <c r="F313" s="8" t="s">
        <v>53</v>
      </c>
      <c r="G313" s="10">
        <v>5</v>
      </c>
      <c r="H313" s="11">
        <v>11.74</v>
      </c>
      <c r="I313" s="11">
        <v>58.7</v>
      </c>
      <c r="J313" s="11">
        <v>22.88</v>
      </c>
      <c r="K313" s="11">
        <v>35.82</v>
      </c>
      <c r="L313" s="8">
        <v>2025</v>
      </c>
      <c r="M313" s="8" t="s">
        <v>32</v>
      </c>
    </row>
    <row r="314" spans="1:13">
      <c r="A314" s="8" t="s">
        <v>378</v>
      </c>
      <c r="B314" s="9">
        <v>46011</v>
      </c>
      <c r="C314" s="8" t="s">
        <v>52</v>
      </c>
      <c r="D314" s="8" t="s">
        <v>29</v>
      </c>
      <c r="E314" s="8" t="s">
        <v>76</v>
      </c>
      <c r="F314" s="8" t="s">
        <v>85</v>
      </c>
      <c r="G314" s="10">
        <v>4</v>
      </c>
      <c r="H314" s="11">
        <v>12.32</v>
      </c>
      <c r="I314" s="11">
        <v>49.28</v>
      </c>
      <c r="J314" s="11">
        <v>18.91</v>
      </c>
      <c r="K314" s="11">
        <v>30.37</v>
      </c>
      <c r="L314" s="8">
        <v>2025</v>
      </c>
      <c r="M314" s="8" t="s">
        <v>32</v>
      </c>
    </row>
    <row r="315" spans="1:13">
      <c r="A315" s="8" t="s">
        <v>379</v>
      </c>
      <c r="B315" s="9">
        <v>46139</v>
      </c>
      <c r="C315" s="8" t="s">
        <v>34</v>
      </c>
      <c r="D315" s="8" t="s">
        <v>29</v>
      </c>
      <c r="E315" s="8" t="s">
        <v>76</v>
      </c>
      <c r="F315" s="8" t="s">
        <v>74</v>
      </c>
      <c r="G315" s="10">
        <v>10</v>
      </c>
      <c r="H315" s="11">
        <v>13.48</v>
      </c>
      <c r="I315" s="11">
        <v>134.80000000000001</v>
      </c>
      <c r="J315" s="11">
        <v>51.49</v>
      </c>
      <c r="K315" s="11">
        <v>83.31</v>
      </c>
      <c r="L315" s="8">
        <v>2026</v>
      </c>
      <c r="M315" s="8" t="s">
        <v>46</v>
      </c>
    </row>
    <row r="316" spans="1:13">
      <c r="A316" s="8" t="s">
        <v>380</v>
      </c>
      <c r="B316" s="9">
        <v>45763</v>
      </c>
      <c r="C316" s="8" t="s">
        <v>52</v>
      </c>
      <c r="D316" s="8" t="s">
        <v>29</v>
      </c>
      <c r="E316" s="8" t="s">
        <v>35</v>
      </c>
      <c r="F316" s="8" t="s">
        <v>53</v>
      </c>
      <c r="G316" s="10">
        <v>4</v>
      </c>
      <c r="H316" s="11">
        <v>50.18</v>
      </c>
      <c r="I316" s="11">
        <v>200.72</v>
      </c>
      <c r="J316" s="11">
        <v>89.35</v>
      </c>
      <c r="K316" s="11">
        <v>111.37</v>
      </c>
      <c r="L316" s="8">
        <v>2025</v>
      </c>
      <c r="M316" s="8" t="s">
        <v>46</v>
      </c>
    </row>
    <row r="317" spans="1:13">
      <c r="A317" s="8" t="s">
        <v>381</v>
      </c>
      <c r="B317" s="9">
        <v>46107</v>
      </c>
      <c r="C317" s="8" t="s">
        <v>56</v>
      </c>
      <c r="D317" s="8" t="s">
        <v>43</v>
      </c>
      <c r="E317" s="8" t="s">
        <v>57</v>
      </c>
      <c r="F317" s="8" t="s">
        <v>31</v>
      </c>
      <c r="G317" s="10">
        <v>4</v>
      </c>
      <c r="H317" s="11">
        <v>503.06</v>
      </c>
      <c r="I317" s="11">
        <v>2012.24</v>
      </c>
      <c r="J317" s="11">
        <v>1313.75</v>
      </c>
      <c r="K317" s="11">
        <v>698.49</v>
      </c>
      <c r="L317" s="8">
        <v>2026</v>
      </c>
      <c r="M317" s="8" t="s">
        <v>77</v>
      </c>
    </row>
    <row r="318" spans="1:13">
      <c r="A318" s="8" t="s">
        <v>382</v>
      </c>
      <c r="B318" s="9">
        <v>46224</v>
      </c>
      <c r="C318" s="8" t="s">
        <v>34</v>
      </c>
      <c r="D318" s="8" t="s">
        <v>43</v>
      </c>
      <c r="E318" s="8" t="s">
        <v>65</v>
      </c>
      <c r="F318" s="8" t="s">
        <v>53</v>
      </c>
      <c r="G318" s="10">
        <v>1</v>
      </c>
      <c r="H318" s="11">
        <v>170.86</v>
      </c>
      <c r="I318" s="11">
        <v>170.86</v>
      </c>
      <c r="J318" s="11">
        <v>89.08</v>
      </c>
      <c r="K318" s="11">
        <v>81.78</v>
      </c>
      <c r="L318" s="8">
        <v>2026</v>
      </c>
      <c r="M318" s="8" t="s">
        <v>69</v>
      </c>
    </row>
    <row r="319" spans="1:13">
      <c r="A319" s="8" t="s">
        <v>383</v>
      </c>
      <c r="B319" s="9">
        <v>46165</v>
      </c>
      <c r="C319" s="8" t="s">
        <v>34</v>
      </c>
      <c r="D319" s="8" t="s">
        <v>43</v>
      </c>
      <c r="E319" s="8" t="s">
        <v>65</v>
      </c>
      <c r="F319" s="8" t="s">
        <v>85</v>
      </c>
      <c r="G319" s="10">
        <v>2</v>
      </c>
      <c r="H319" s="11">
        <v>202.99</v>
      </c>
      <c r="I319" s="11">
        <v>405.98</v>
      </c>
      <c r="J319" s="11">
        <v>221.72</v>
      </c>
      <c r="K319" s="11">
        <v>184.26</v>
      </c>
      <c r="L319" s="8">
        <v>2026</v>
      </c>
      <c r="M319" s="8" t="s">
        <v>50</v>
      </c>
    </row>
    <row r="320" spans="1:13">
      <c r="A320" s="8" t="s">
        <v>384</v>
      </c>
      <c r="B320" s="9">
        <v>46100</v>
      </c>
      <c r="C320" s="8" t="s">
        <v>56</v>
      </c>
      <c r="D320" s="8" t="s">
        <v>43</v>
      </c>
      <c r="E320" s="8" t="s">
        <v>94</v>
      </c>
      <c r="F320" s="8" t="s">
        <v>40</v>
      </c>
      <c r="G320" s="10">
        <v>5</v>
      </c>
      <c r="H320" s="11">
        <v>285.12</v>
      </c>
      <c r="I320" s="11">
        <v>1425.6</v>
      </c>
      <c r="J320" s="11">
        <v>863.73</v>
      </c>
      <c r="K320" s="11">
        <v>561.87</v>
      </c>
      <c r="L320" s="8">
        <v>2026</v>
      </c>
      <c r="M320" s="8" t="s">
        <v>77</v>
      </c>
    </row>
    <row r="321" spans="1:13">
      <c r="A321" s="8" t="s">
        <v>385</v>
      </c>
      <c r="B321" s="9">
        <v>45726</v>
      </c>
      <c r="C321" s="8" t="s">
        <v>56</v>
      </c>
      <c r="D321" s="8" t="s">
        <v>38</v>
      </c>
      <c r="E321" s="8" t="s">
        <v>48</v>
      </c>
      <c r="F321" s="8" t="s">
        <v>53</v>
      </c>
      <c r="G321" s="10">
        <v>2</v>
      </c>
      <c r="H321" s="11">
        <v>224.04</v>
      </c>
      <c r="I321" s="11">
        <v>448.08</v>
      </c>
      <c r="J321" s="11">
        <v>300.17</v>
      </c>
      <c r="K321" s="11">
        <v>147.91</v>
      </c>
      <c r="L321" s="8">
        <v>2025</v>
      </c>
      <c r="M321" s="8" t="s">
        <v>77</v>
      </c>
    </row>
    <row r="322" spans="1:13">
      <c r="A322" s="8" t="s">
        <v>386</v>
      </c>
      <c r="B322" s="9">
        <v>45722</v>
      </c>
      <c r="C322" s="8" t="s">
        <v>52</v>
      </c>
      <c r="D322" s="8" t="s">
        <v>38</v>
      </c>
      <c r="E322" s="8" t="s">
        <v>48</v>
      </c>
      <c r="F322" s="8" t="s">
        <v>53</v>
      </c>
      <c r="G322" s="10">
        <v>1</v>
      </c>
      <c r="H322" s="11">
        <v>201.25</v>
      </c>
      <c r="I322" s="11">
        <v>201.25</v>
      </c>
      <c r="J322" s="11">
        <v>136.82</v>
      </c>
      <c r="K322" s="11">
        <v>64.430000000000007</v>
      </c>
      <c r="L322" s="8">
        <v>2025</v>
      </c>
      <c r="M322" s="8" t="s">
        <v>77</v>
      </c>
    </row>
    <row r="323" spans="1:13">
      <c r="A323" s="8" t="s">
        <v>387</v>
      </c>
      <c r="B323" s="9">
        <v>45933</v>
      </c>
      <c r="C323" s="8" t="s">
        <v>34</v>
      </c>
      <c r="D323" s="8" t="s">
        <v>43</v>
      </c>
      <c r="E323" s="8" t="s">
        <v>57</v>
      </c>
      <c r="F323" s="8" t="s">
        <v>49</v>
      </c>
      <c r="G323" s="10">
        <v>2</v>
      </c>
      <c r="H323" s="11">
        <v>439.53</v>
      </c>
      <c r="I323" s="11">
        <v>879.06</v>
      </c>
      <c r="J323" s="11">
        <v>562.66999999999996</v>
      </c>
      <c r="K323" s="11">
        <v>316.39</v>
      </c>
      <c r="L323" s="8">
        <v>2025</v>
      </c>
      <c r="M323" s="8" t="s">
        <v>58</v>
      </c>
    </row>
    <row r="324" spans="1:13">
      <c r="A324" s="8" t="s">
        <v>388</v>
      </c>
      <c r="B324" s="9">
        <v>46197</v>
      </c>
      <c r="C324" s="8" t="s">
        <v>28</v>
      </c>
      <c r="D324" s="8" t="s">
        <v>38</v>
      </c>
      <c r="E324" s="8" t="s">
        <v>39</v>
      </c>
      <c r="F324" s="8" t="s">
        <v>31</v>
      </c>
      <c r="G324" s="10">
        <v>4</v>
      </c>
      <c r="H324" s="11">
        <v>61.85</v>
      </c>
      <c r="I324" s="11">
        <v>247.4</v>
      </c>
      <c r="J324" s="11">
        <v>107.99</v>
      </c>
      <c r="K324" s="11">
        <v>139.41</v>
      </c>
      <c r="L324" s="8">
        <v>2026</v>
      </c>
      <c r="M324" s="8" t="s">
        <v>54</v>
      </c>
    </row>
    <row r="325" spans="1:13">
      <c r="A325" s="8" t="s">
        <v>389</v>
      </c>
      <c r="B325" s="9">
        <v>45836</v>
      </c>
      <c r="C325" s="8" t="s">
        <v>28</v>
      </c>
      <c r="D325" s="8" t="s">
        <v>29</v>
      </c>
      <c r="E325" s="8" t="s">
        <v>30</v>
      </c>
      <c r="F325" s="8" t="s">
        <v>40</v>
      </c>
      <c r="G325" s="10">
        <v>5</v>
      </c>
      <c r="H325" s="11">
        <v>22.11</v>
      </c>
      <c r="I325" s="11">
        <v>110.55</v>
      </c>
      <c r="J325" s="11">
        <v>49.42</v>
      </c>
      <c r="K325" s="11">
        <v>61.13</v>
      </c>
      <c r="L325" s="8">
        <v>2025</v>
      </c>
      <c r="M325" s="8" t="s">
        <v>54</v>
      </c>
    </row>
    <row r="326" spans="1:13">
      <c r="A326" s="8" t="s">
        <v>390</v>
      </c>
      <c r="B326" s="9">
        <v>46155</v>
      </c>
      <c r="C326" s="8" t="s">
        <v>34</v>
      </c>
      <c r="D326" s="8" t="s">
        <v>29</v>
      </c>
      <c r="E326" s="8" t="s">
        <v>35</v>
      </c>
      <c r="F326" s="8" t="s">
        <v>66</v>
      </c>
      <c r="G326" s="10">
        <v>9</v>
      </c>
      <c r="H326" s="11">
        <v>44.12</v>
      </c>
      <c r="I326" s="11">
        <v>397.08</v>
      </c>
      <c r="J326" s="11">
        <v>185.01</v>
      </c>
      <c r="K326" s="11">
        <v>212.07</v>
      </c>
      <c r="L326" s="8">
        <v>2026</v>
      </c>
      <c r="M326" s="8" t="s">
        <v>50</v>
      </c>
    </row>
    <row r="327" spans="1:13">
      <c r="A327" s="8" t="s">
        <v>391</v>
      </c>
      <c r="B327" s="9">
        <v>46160</v>
      </c>
      <c r="C327" s="8" t="s">
        <v>56</v>
      </c>
      <c r="D327" s="8" t="s">
        <v>43</v>
      </c>
      <c r="E327" s="8" t="s">
        <v>44</v>
      </c>
      <c r="F327" s="8" t="s">
        <v>53</v>
      </c>
      <c r="G327" s="10">
        <v>2</v>
      </c>
      <c r="H327" s="11">
        <v>464.99</v>
      </c>
      <c r="I327" s="11">
        <v>929.98</v>
      </c>
      <c r="J327" s="11">
        <v>596.66</v>
      </c>
      <c r="K327" s="11">
        <v>333.32</v>
      </c>
      <c r="L327" s="8">
        <v>2026</v>
      </c>
      <c r="M327" s="8" t="s">
        <v>50</v>
      </c>
    </row>
    <row r="328" spans="1:13">
      <c r="A328" s="8" t="s">
        <v>392</v>
      </c>
      <c r="B328" s="9">
        <v>46198</v>
      </c>
      <c r="C328" s="8" t="s">
        <v>34</v>
      </c>
      <c r="D328" s="8" t="s">
        <v>38</v>
      </c>
      <c r="E328" s="8" t="s">
        <v>134</v>
      </c>
      <c r="F328" s="8" t="s">
        <v>53</v>
      </c>
      <c r="G328" s="10">
        <v>5</v>
      </c>
      <c r="H328" s="11">
        <v>308.85000000000002</v>
      </c>
      <c r="I328" s="11">
        <v>1544.25</v>
      </c>
      <c r="J328" s="11">
        <v>1052.44</v>
      </c>
      <c r="K328" s="11">
        <v>491.81</v>
      </c>
      <c r="L328" s="8">
        <v>2026</v>
      </c>
      <c r="M328" s="8" t="s">
        <v>54</v>
      </c>
    </row>
    <row r="329" spans="1:13">
      <c r="A329" s="8" t="s">
        <v>393</v>
      </c>
      <c r="B329" s="9">
        <v>45886</v>
      </c>
      <c r="C329" s="8" t="s">
        <v>56</v>
      </c>
      <c r="D329" s="8" t="s">
        <v>38</v>
      </c>
      <c r="E329" s="8" t="s">
        <v>134</v>
      </c>
      <c r="F329" s="8" t="s">
        <v>45</v>
      </c>
      <c r="G329" s="10">
        <v>2</v>
      </c>
      <c r="H329" s="11">
        <v>275.37</v>
      </c>
      <c r="I329" s="11">
        <v>550.74</v>
      </c>
      <c r="J329" s="11">
        <v>418.51</v>
      </c>
      <c r="K329" s="11">
        <v>132.22999999999999</v>
      </c>
      <c r="L329" s="8">
        <v>2025</v>
      </c>
      <c r="M329" s="8" t="s">
        <v>62</v>
      </c>
    </row>
    <row r="330" spans="1:13">
      <c r="A330" s="8" t="s">
        <v>394</v>
      </c>
      <c r="B330" s="9">
        <v>45756</v>
      </c>
      <c r="C330" s="8" t="s">
        <v>28</v>
      </c>
      <c r="D330" s="8" t="s">
        <v>38</v>
      </c>
      <c r="E330" s="8" t="s">
        <v>48</v>
      </c>
      <c r="F330" s="8" t="s">
        <v>74</v>
      </c>
      <c r="G330" s="10">
        <v>4</v>
      </c>
      <c r="H330" s="11">
        <v>197.24</v>
      </c>
      <c r="I330" s="11">
        <v>788.96</v>
      </c>
      <c r="J330" s="11">
        <v>533.55999999999995</v>
      </c>
      <c r="K330" s="11">
        <v>255.4</v>
      </c>
      <c r="L330" s="8">
        <v>2025</v>
      </c>
      <c r="M330" s="8" t="s">
        <v>46</v>
      </c>
    </row>
    <row r="331" spans="1:13">
      <c r="A331" s="8" t="s">
        <v>395</v>
      </c>
      <c r="B331" s="9">
        <v>46166</v>
      </c>
      <c r="C331" s="8" t="s">
        <v>28</v>
      </c>
      <c r="D331" s="8" t="s">
        <v>43</v>
      </c>
      <c r="E331" s="8" t="s">
        <v>94</v>
      </c>
      <c r="F331" s="8" t="s">
        <v>74</v>
      </c>
      <c r="G331" s="10">
        <v>5</v>
      </c>
      <c r="H331" s="11">
        <v>264.88</v>
      </c>
      <c r="I331" s="11">
        <v>1324.4</v>
      </c>
      <c r="J331" s="11">
        <v>789.7</v>
      </c>
      <c r="K331" s="11">
        <v>534.70000000000005</v>
      </c>
      <c r="L331" s="8">
        <v>2026</v>
      </c>
      <c r="M331" s="8" t="s">
        <v>50</v>
      </c>
    </row>
    <row r="332" spans="1:13">
      <c r="A332" s="8" t="s">
        <v>396</v>
      </c>
      <c r="B332" s="9">
        <v>45869</v>
      </c>
      <c r="C332" s="8" t="s">
        <v>28</v>
      </c>
      <c r="D332" s="8" t="s">
        <v>43</v>
      </c>
      <c r="E332" s="8" t="s">
        <v>44</v>
      </c>
      <c r="F332" s="8" t="s">
        <v>40</v>
      </c>
      <c r="G332" s="10">
        <v>4</v>
      </c>
      <c r="H332" s="11">
        <v>389.37</v>
      </c>
      <c r="I332" s="11">
        <v>1557.48</v>
      </c>
      <c r="J332" s="11">
        <v>1008.59</v>
      </c>
      <c r="K332" s="11">
        <v>548.89</v>
      </c>
      <c r="L332" s="8">
        <v>2025</v>
      </c>
      <c r="M332" s="8" t="s">
        <v>69</v>
      </c>
    </row>
    <row r="333" spans="1:13">
      <c r="A333" s="8" t="s">
        <v>397</v>
      </c>
      <c r="B333" s="9">
        <v>46010</v>
      </c>
      <c r="C333" s="8" t="s">
        <v>28</v>
      </c>
      <c r="D333" s="8" t="s">
        <v>38</v>
      </c>
      <c r="E333" s="8" t="s">
        <v>39</v>
      </c>
      <c r="F333" s="8" t="s">
        <v>74</v>
      </c>
      <c r="G333" s="10">
        <v>1</v>
      </c>
      <c r="H333" s="11">
        <v>58.07</v>
      </c>
      <c r="I333" s="11">
        <v>58.07</v>
      </c>
      <c r="J333" s="11">
        <v>24.94</v>
      </c>
      <c r="K333" s="11">
        <v>33.130000000000003</v>
      </c>
      <c r="L333" s="8">
        <v>2025</v>
      </c>
      <c r="M333" s="8" t="s">
        <v>32</v>
      </c>
    </row>
    <row r="334" spans="1:13">
      <c r="A334" s="8" t="s">
        <v>398</v>
      </c>
      <c r="B334" s="9">
        <v>46086</v>
      </c>
      <c r="C334" s="8" t="s">
        <v>56</v>
      </c>
      <c r="D334" s="8" t="s">
        <v>29</v>
      </c>
      <c r="E334" s="8" t="s">
        <v>35</v>
      </c>
      <c r="F334" s="8" t="s">
        <v>74</v>
      </c>
      <c r="G334" s="10">
        <v>12</v>
      </c>
      <c r="H334" s="11">
        <v>39.69</v>
      </c>
      <c r="I334" s="11">
        <v>476.28</v>
      </c>
      <c r="J334" s="11">
        <v>236.43</v>
      </c>
      <c r="K334" s="11">
        <v>239.85</v>
      </c>
      <c r="L334" s="8">
        <v>2026</v>
      </c>
      <c r="M334" s="8" t="s">
        <v>77</v>
      </c>
    </row>
    <row r="335" spans="1:13">
      <c r="A335" s="8" t="s">
        <v>399</v>
      </c>
      <c r="B335" s="9">
        <v>46097</v>
      </c>
      <c r="C335" s="8" t="s">
        <v>52</v>
      </c>
      <c r="D335" s="8" t="s">
        <v>38</v>
      </c>
      <c r="E335" s="8" t="s">
        <v>61</v>
      </c>
      <c r="F335" s="8" t="s">
        <v>40</v>
      </c>
      <c r="G335" s="10">
        <v>4</v>
      </c>
      <c r="H335" s="11">
        <v>889.67</v>
      </c>
      <c r="I335" s="11">
        <v>3558.68</v>
      </c>
      <c r="J335" s="11">
        <v>2603.1799999999998</v>
      </c>
      <c r="K335" s="11">
        <v>955.5</v>
      </c>
      <c r="L335" s="8">
        <v>2026</v>
      </c>
      <c r="M335" s="8" t="s">
        <v>77</v>
      </c>
    </row>
    <row r="336" spans="1:13">
      <c r="A336" s="8" t="s">
        <v>400</v>
      </c>
      <c r="B336" s="9">
        <v>46021</v>
      </c>
      <c r="C336" s="8" t="s">
        <v>56</v>
      </c>
      <c r="D336" s="8" t="s">
        <v>43</v>
      </c>
      <c r="E336" s="8" t="s">
        <v>65</v>
      </c>
      <c r="F336" s="8" t="s">
        <v>66</v>
      </c>
      <c r="G336" s="10">
        <v>1</v>
      </c>
      <c r="H336" s="11">
        <v>196.54</v>
      </c>
      <c r="I336" s="11">
        <v>196.54</v>
      </c>
      <c r="J336" s="11">
        <v>111.1</v>
      </c>
      <c r="K336" s="11">
        <v>85.44</v>
      </c>
      <c r="L336" s="8">
        <v>2025</v>
      </c>
      <c r="M336" s="8" t="s">
        <v>32</v>
      </c>
    </row>
    <row r="337" spans="1:13">
      <c r="A337" s="8" t="s">
        <v>401</v>
      </c>
      <c r="B337" s="9">
        <v>45747</v>
      </c>
      <c r="C337" s="8" t="s">
        <v>52</v>
      </c>
      <c r="D337" s="8" t="s">
        <v>43</v>
      </c>
      <c r="E337" s="8" t="s">
        <v>44</v>
      </c>
      <c r="F337" s="8" t="s">
        <v>40</v>
      </c>
      <c r="G337" s="10">
        <v>2</v>
      </c>
      <c r="H337" s="11">
        <v>437.02</v>
      </c>
      <c r="I337" s="11">
        <v>874.04</v>
      </c>
      <c r="J337" s="11">
        <v>532.80999999999995</v>
      </c>
      <c r="K337" s="11">
        <v>341.23</v>
      </c>
      <c r="L337" s="8">
        <v>2025</v>
      </c>
      <c r="M337" s="8" t="s">
        <v>77</v>
      </c>
    </row>
    <row r="338" spans="1:13">
      <c r="A338" s="8" t="s">
        <v>402</v>
      </c>
      <c r="B338" s="9">
        <v>46120</v>
      </c>
      <c r="C338" s="8" t="s">
        <v>28</v>
      </c>
      <c r="D338" s="8" t="s">
        <v>29</v>
      </c>
      <c r="E338" s="8" t="s">
        <v>30</v>
      </c>
      <c r="F338" s="8" t="s">
        <v>53</v>
      </c>
      <c r="G338" s="10">
        <v>10</v>
      </c>
      <c r="H338" s="11">
        <v>26.16</v>
      </c>
      <c r="I338" s="11">
        <v>261.60000000000002</v>
      </c>
      <c r="J338" s="11">
        <v>116.44</v>
      </c>
      <c r="K338" s="11">
        <v>145.16</v>
      </c>
      <c r="L338" s="8">
        <v>2026</v>
      </c>
      <c r="M338" s="8" t="s">
        <v>46</v>
      </c>
    </row>
    <row r="339" spans="1:13">
      <c r="A339" s="8" t="s">
        <v>403</v>
      </c>
      <c r="B339" s="9">
        <v>46169</v>
      </c>
      <c r="C339" s="8" t="s">
        <v>56</v>
      </c>
      <c r="D339" s="8" t="s">
        <v>38</v>
      </c>
      <c r="E339" s="8" t="s">
        <v>48</v>
      </c>
      <c r="F339" s="8" t="s">
        <v>85</v>
      </c>
      <c r="G339" s="10">
        <v>2</v>
      </c>
      <c r="H339" s="11">
        <v>228.86</v>
      </c>
      <c r="I339" s="11">
        <v>457.72</v>
      </c>
      <c r="J339" s="11">
        <v>295.79000000000002</v>
      </c>
      <c r="K339" s="11">
        <v>161.93</v>
      </c>
      <c r="L339" s="8">
        <v>2026</v>
      </c>
      <c r="M339" s="8" t="s">
        <v>50</v>
      </c>
    </row>
    <row r="340" spans="1:13">
      <c r="A340" s="8" t="s">
        <v>404</v>
      </c>
      <c r="B340" s="9">
        <v>46040</v>
      </c>
      <c r="C340" s="8" t="s">
        <v>28</v>
      </c>
      <c r="D340" s="8" t="s">
        <v>38</v>
      </c>
      <c r="E340" s="8" t="s">
        <v>48</v>
      </c>
      <c r="F340" s="8" t="s">
        <v>45</v>
      </c>
      <c r="G340" s="10">
        <v>4</v>
      </c>
      <c r="H340" s="11">
        <v>223.82</v>
      </c>
      <c r="I340" s="11">
        <v>895.28</v>
      </c>
      <c r="J340" s="11">
        <v>589.74</v>
      </c>
      <c r="K340" s="11">
        <v>305.54000000000002</v>
      </c>
      <c r="L340" s="8">
        <v>2026</v>
      </c>
      <c r="M340" s="8" t="s">
        <v>36</v>
      </c>
    </row>
    <row r="341" spans="1:13">
      <c r="A341" s="8" t="s">
        <v>405</v>
      </c>
      <c r="B341" s="9">
        <v>46106</v>
      </c>
      <c r="C341" s="8" t="s">
        <v>56</v>
      </c>
      <c r="D341" s="8" t="s">
        <v>43</v>
      </c>
      <c r="E341" s="8" t="s">
        <v>57</v>
      </c>
      <c r="F341" s="8" t="s">
        <v>45</v>
      </c>
      <c r="G341" s="10">
        <v>2</v>
      </c>
      <c r="H341" s="11">
        <v>509.74</v>
      </c>
      <c r="I341" s="11">
        <v>1019.48</v>
      </c>
      <c r="J341" s="11">
        <v>663.1</v>
      </c>
      <c r="K341" s="11">
        <v>356.38</v>
      </c>
      <c r="L341" s="8">
        <v>2026</v>
      </c>
      <c r="M341" s="8" t="s">
        <v>77</v>
      </c>
    </row>
    <row r="342" spans="1:13">
      <c r="A342" s="8" t="s">
        <v>406</v>
      </c>
      <c r="B342" s="9">
        <v>45969</v>
      </c>
      <c r="C342" s="8" t="s">
        <v>34</v>
      </c>
      <c r="D342" s="8" t="s">
        <v>38</v>
      </c>
      <c r="E342" s="8" t="s">
        <v>39</v>
      </c>
      <c r="F342" s="8" t="s">
        <v>74</v>
      </c>
      <c r="G342" s="10">
        <v>4</v>
      </c>
      <c r="H342" s="11">
        <v>53.66</v>
      </c>
      <c r="I342" s="11">
        <v>214.64</v>
      </c>
      <c r="J342" s="11">
        <v>101.63</v>
      </c>
      <c r="K342" s="11">
        <v>113.01</v>
      </c>
      <c r="L342" s="8">
        <v>2025</v>
      </c>
      <c r="M342" s="8" t="s">
        <v>41</v>
      </c>
    </row>
    <row r="343" spans="1:13">
      <c r="A343" s="8" t="s">
        <v>407</v>
      </c>
      <c r="B343" s="9">
        <v>45892</v>
      </c>
      <c r="C343" s="8" t="s">
        <v>56</v>
      </c>
      <c r="D343" s="8" t="s">
        <v>29</v>
      </c>
      <c r="E343" s="8" t="s">
        <v>76</v>
      </c>
      <c r="F343" s="8" t="s">
        <v>40</v>
      </c>
      <c r="G343" s="10">
        <v>12</v>
      </c>
      <c r="H343" s="11">
        <v>12.79</v>
      </c>
      <c r="I343" s="11">
        <v>153.47999999999999</v>
      </c>
      <c r="J343" s="11">
        <v>58.42</v>
      </c>
      <c r="K343" s="11">
        <v>95.06</v>
      </c>
      <c r="L343" s="8">
        <v>2025</v>
      </c>
      <c r="M343" s="8" t="s">
        <v>62</v>
      </c>
    </row>
    <row r="344" spans="1:13">
      <c r="A344" s="8" t="s">
        <v>408</v>
      </c>
      <c r="B344" s="9">
        <v>45924</v>
      </c>
      <c r="C344" s="8" t="s">
        <v>56</v>
      </c>
      <c r="D344" s="8" t="s">
        <v>29</v>
      </c>
      <c r="E344" s="8" t="s">
        <v>76</v>
      </c>
      <c r="F344" s="8" t="s">
        <v>85</v>
      </c>
      <c r="G344" s="10">
        <v>3</v>
      </c>
      <c r="H344" s="11">
        <v>12.68</v>
      </c>
      <c r="I344" s="11">
        <v>38.04</v>
      </c>
      <c r="J344" s="11">
        <v>12.98</v>
      </c>
      <c r="K344" s="11">
        <v>25.06</v>
      </c>
      <c r="L344" s="8">
        <v>2025</v>
      </c>
      <c r="M344" s="8" t="s">
        <v>98</v>
      </c>
    </row>
    <row r="345" spans="1:13">
      <c r="A345" s="8" t="s">
        <v>409</v>
      </c>
      <c r="B345" s="9">
        <v>46150</v>
      </c>
      <c r="C345" s="8" t="s">
        <v>34</v>
      </c>
      <c r="D345" s="8" t="s">
        <v>38</v>
      </c>
      <c r="E345" s="8" t="s">
        <v>39</v>
      </c>
      <c r="F345" s="8" t="s">
        <v>49</v>
      </c>
      <c r="G345" s="10">
        <v>5</v>
      </c>
      <c r="H345" s="11">
        <v>56</v>
      </c>
      <c r="I345" s="11">
        <v>280</v>
      </c>
      <c r="J345" s="11">
        <v>112.05</v>
      </c>
      <c r="K345" s="11">
        <v>167.95</v>
      </c>
      <c r="L345" s="8">
        <v>2026</v>
      </c>
      <c r="M345" s="8" t="s">
        <v>50</v>
      </c>
    </row>
    <row r="346" spans="1:13">
      <c r="A346" s="8" t="s">
        <v>410</v>
      </c>
      <c r="B346" s="9">
        <v>46208</v>
      </c>
      <c r="C346" s="8" t="s">
        <v>52</v>
      </c>
      <c r="D346" s="8" t="s">
        <v>29</v>
      </c>
      <c r="E346" s="8" t="s">
        <v>76</v>
      </c>
      <c r="F346" s="8" t="s">
        <v>74</v>
      </c>
      <c r="G346" s="10">
        <v>4</v>
      </c>
      <c r="H346" s="11">
        <v>12.58</v>
      </c>
      <c r="I346" s="11">
        <v>50.32</v>
      </c>
      <c r="J346" s="11">
        <v>17.47</v>
      </c>
      <c r="K346" s="11">
        <v>32.85</v>
      </c>
      <c r="L346" s="8">
        <v>2026</v>
      </c>
      <c r="M346" s="8" t="s">
        <v>69</v>
      </c>
    </row>
    <row r="347" spans="1:13">
      <c r="A347" s="8" t="s">
        <v>411</v>
      </c>
      <c r="B347" s="9">
        <v>45768</v>
      </c>
      <c r="C347" s="8" t="s">
        <v>56</v>
      </c>
      <c r="D347" s="8" t="s">
        <v>29</v>
      </c>
      <c r="E347" s="8" t="s">
        <v>30</v>
      </c>
      <c r="F347" s="8" t="s">
        <v>85</v>
      </c>
      <c r="G347" s="10">
        <v>3</v>
      </c>
      <c r="H347" s="11">
        <v>27.84</v>
      </c>
      <c r="I347" s="11">
        <v>83.52</v>
      </c>
      <c r="J347" s="11">
        <v>32.51</v>
      </c>
      <c r="K347" s="11">
        <v>51.01</v>
      </c>
      <c r="L347" s="8">
        <v>2025</v>
      </c>
      <c r="M347" s="8" t="s">
        <v>46</v>
      </c>
    </row>
    <row r="348" spans="1:13">
      <c r="A348" s="8" t="s">
        <v>412</v>
      </c>
      <c r="B348" s="9">
        <v>46154</v>
      </c>
      <c r="C348" s="8" t="s">
        <v>28</v>
      </c>
      <c r="D348" s="8" t="s">
        <v>38</v>
      </c>
      <c r="E348" s="8" t="s">
        <v>61</v>
      </c>
      <c r="F348" s="8" t="s">
        <v>45</v>
      </c>
      <c r="G348" s="10">
        <v>5</v>
      </c>
      <c r="H348" s="11">
        <v>846.02</v>
      </c>
      <c r="I348" s="11">
        <v>4230.1000000000004</v>
      </c>
      <c r="J348" s="11">
        <v>3197.47</v>
      </c>
      <c r="K348" s="11">
        <v>1032.6300000000001</v>
      </c>
      <c r="L348" s="8">
        <v>2026</v>
      </c>
      <c r="M348" s="8" t="s">
        <v>50</v>
      </c>
    </row>
    <row r="349" spans="1:13">
      <c r="A349" s="8" t="s">
        <v>413</v>
      </c>
      <c r="B349" s="9">
        <v>46100</v>
      </c>
      <c r="C349" s="8" t="s">
        <v>28</v>
      </c>
      <c r="D349" s="8" t="s">
        <v>38</v>
      </c>
      <c r="E349" s="8" t="s">
        <v>39</v>
      </c>
      <c r="F349" s="8" t="s">
        <v>40</v>
      </c>
      <c r="G349" s="10">
        <v>3</v>
      </c>
      <c r="H349" s="11">
        <v>49.1</v>
      </c>
      <c r="I349" s="11">
        <v>147.30000000000001</v>
      </c>
      <c r="J349" s="11">
        <v>63.39</v>
      </c>
      <c r="K349" s="11">
        <v>83.91</v>
      </c>
      <c r="L349" s="8">
        <v>2026</v>
      </c>
      <c r="M349" s="8" t="s">
        <v>77</v>
      </c>
    </row>
    <row r="350" spans="1:13">
      <c r="A350" s="8" t="s">
        <v>414</v>
      </c>
      <c r="B350" s="9">
        <v>45950</v>
      </c>
      <c r="C350" s="8" t="s">
        <v>34</v>
      </c>
      <c r="D350" s="8" t="s">
        <v>43</v>
      </c>
      <c r="E350" s="8" t="s">
        <v>65</v>
      </c>
      <c r="F350" s="8" t="s">
        <v>66</v>
      </c>
      <c r="G350" s="10">
        <v>3</v>
      </c>
      <c r="H350" s="11">
        <v>164.15</v>
      </c>
      <c r="I350" s="11">
        <v>492.45</v>
      </c>
      <c r="J350" s="11">
        <v>266.22000000000003</v>
      </c>
      <c r="K350" s="11">
        <v>226.23</v>
      </c>
      <c r="L350" s="8">
        <v>2025</v>
      </c>
      <c r="M350" s="8" t="s">
        <v>58</v>
      </c>
    </row>
    <row r="351" spans="1:13">
      <c r="A351" s="8" t="s">
        <v>415</v>
      </c>
      <c r="B351" s="9">
        <v>46203</v>
      </c>
      <c r="C351" s="8" t="s">
        <v>52</v>
      </c>
      <c r="D351" s="8" t="s">
        <v>29</v>
      </c>
      <c r="E351" s="8" t="s">
        <v>35</v>
      </c>
      <c r="F351" s="8" t="s">
        <v>85</v>
      </c>
      <c r="G351" s="10">
        <v>8</v>
      </c>
      <c r="H351" s="11">
        <v>42.72</v>
      </c>
      <c r="I351" s="11">
        <v>341.76</v>
      </c>
      <c r="J351" s="11">
        <v>164.51</v>
      </c>
      <c r="K351" s="11">
        <v>177.25</v>
      </c>
      <c r="L351" s="8">
        <v>2026</v>
      </c>
      <c r="M351" s="8" t="s">
        <v>54</v>
      </c>
    </row>
    <row r="352" spans="1:13">
      <c r="A352" s="8" t="s">
        <v>416</v>
      </c>
      <c r="B352" s="9">
        <v>46204</v>
      </c>
      <c r="C352" s="8" t="s">
        <v>52</v>
      </c>
      <c r="D352" s="8" t="s">
        <v>43</v>
      </c>
      <c r="E352" s="8" t="s">
        <v>65</v>
      </c>
      <c r="F352" s="8" t="s">
        <v>53</v>
      </c>
      <c r="G352" s="10">
        <v>4</v>
      </c>
      <c r="H352" s="11">
        <v>179.28</v>
      </c>
      <c r="I352" s="11">
        <v>717.12</v>
      </c>
      <c r="J352" s="11">
        <v>409.52</v>
      </c>
      <c r="K352" s="11">
        <v>307.60000000000002</v>
      </c>
      <c r="L352" s="8">
        <v>2026</v>
      </c>
      <c r="M352" s="8" t="s">
        <v>69</v>
      </c>
    </row>
    <row r="353" spans="1:13">
      <c r="A353" s="8" t="s">
        <v>417</v>
      </c>
      <c r="B353" s="9">
        <v>46001</v>
      </c>
      <c r="C353" s="8" t="s">
        <v>52</v>
      </c>
      <c r="D353" s="8" t="s">
        <v>29</v>
      </c>
      <c r="E353" s="8" t="s">
        <v>35</v>
      </c>
      <c r="F353" s="8" t="s">
        <v>31</v>
      </c>
      <c r="G353" s="10">
        <v>3</v>
      </c>
      <c r="H353" s="11">
        <v>41.06</v>
      </c>
      <c r="I353" s="11">
        <v>123.18</v>
      </c>
      <c r="J353" s="11">
        <v>53.87</v>
      </c>
      <c r="K353" s="11">
        <v>69.31</v>
      </c>
      <c r="L353" s="8">
        <v>2025</v>
      </c>
      <c r="M353" s="8" t="s">
        <v>32</v>
      </c>
    </row>
    <row r="354" spans="1:13">
      <c r="A354" s="8" t="s">
        <v>418</v>
      </c>
      <c r="B354" s="9">
        <v>46007</v>
      </c>
      <c r="C354" s="8" t="s">
        <v>56</v>
      </c>
      <c r="D354" s="8" t="s">
        <v>43</v>
      </c>
      <c r="E354" s="8" t="s">
        <v>94</v>
      </c>
      <c r="F354" s="8" t="s">
        <v>49</v>
      </c>
      <c r="G354" s="10">
        <v>1</v>
      </c>
      <c r="H354" s="11">
        <v>317.55</v>
      </c>
      <c r="I354" s="11">
        <v>317.55</v>
      </c>
      <c r="J354" s="11">
        <v>181.56</v>
      </c>
      <c r="K354" s="11">
        <v>135.99</v>
      </c>
      <c r="L354" s="8">
        <v>2025</v>
      </c>
      <c r="M354" s="8" t="s">
        <v>32</v>
      </c>
    </row>
    <row r="355" spans="1:13">
      <c r="A355" s="8" t="s">
        <v>419</v>
      </c>
      <c r="B355" s="9">
        <v>45852</v>
      </c>
      <c r="C355" s="8" t="s">
        <v>34</v>
      </c>
      <c r="D355" s="8" t="s">
        <v>29</v>
      </c>
      <c r="E355" s="8" t="s">
        <v>30</v>
      </c>
      <c r="F355" s="8" t="s">
        <v>31</v>
      </c>
      <c r="G355" s="10">
        <v>8</v>
      </c>
      <c r="H355" s="11">
        <v>28.08</v>
      </c>
      <c r="I355" s="11">
        <v>224.64</v>
      </c>
      <c r="J355" s="11">
        <v>92.66</v>
      </c>
      <c r="K355" s="11">
        <v>131.97999999999999</v>
      </c>
      <c r="L355" s="8">
        <v>2025</v>
      </c>
      <c r="M355" s="8" t="s">
        <v>69</v>
      </c>
    </row>
    <row r="356" spans="1:13">
      <c r="A356" s="8" t="s">
        <v>420</v>
      </c>
      <c r="B356" s="9">
        <v>46261</v>
      </c>
      <c r="C356" s="8" t="s">
        <v>52</v>
      </c>
      <c r="D356" s="8" t="s">
        <v>38</v>
      </c>
      <c r="E356" s="8" t="s">
        <v>134</v>
      </c>
      <c r="F356" s="8" t="s">
        <v>85</v>
      </c>
      <c r="G356" s="10">
        <v>5</v>
      </c>
      <c r="H356" s="11">
        <v>345.5</v>
      </c>
      <c r="I356" s="11">
        <v>1727.5</v>
      </c>
      <c r="J356" s="11">
        <v>1272.76</v>
      </c>
      <c r="K356" s="11">
        <v>454.74</v>
      </c>
      <c r="L356" s="8">
        <v>2026</v>
      </c>
      <c r="M356" s="8" t="s">
        <v>62</v>
      </c>
    </row>
    <row r="357" spans="1:13">
      <c r="A357" s="8" t="s">
        <v>421</v>
      </c>
      <c r="B357" s="9">
        <v>46173</v>
      </c>
      <c r="C357" s="8" t="s">
        <v>56</v>
      </c>
      <c r="D357" s="8" t="s">
        <v>43</v>
      </c>
      <c r="E357" s="8" t="s">
        <v>65</v>
      </c>
      <c r="F357" s="8" t="s">
        <v>74</v>
      </c>
      <c r="G357" s="10">
        <v>4</v>
      </c>
      <c r="H357" s="11">
        <v>190.42</v>
      </c>
      <c r="I357" s="11">
        <v>761.68</v>
      </c>
      <c r="J357" s="11">
        <v>453.02</v>
      </c>
      <c r="K357" s="11">
        <v>308.66000000000003</v>
      </c>
      <c r="L357" s="8">
        <v>2026</v>
      </c>
      <c r="M357" s="8" t="s">
        <v>50</v>
      </c>
    </row>
    <row r="358" spans="1:13">
      <c r="A358" s="8" t="s">
        <v>422</v>
      </c>
      <c r="B358" s="9">
        <v>45994</v>
      </c>
      <c r="C358" s="8" t="s">
        <v>56</v>
      </c>
      <c r="D358" s="8" t="s">
        <v>29</v>
      </c>
      <c r="E358" s="8" t="s">
        <v>76</v>
      </c>
      <c r="F358" s="8" t="s">
        <v>49</v>
      </c>
      <c r="G358" s="10">
        <v>10</v>
      </c>
      <c r="H358" s="11">
        <v>12.06</v>
      </c>
      <c r="I358" s="11">
        <v>120.6</v>
      </c>
      <c r="J358" s="11">
        <v>46.62</v>
      </c>
      <c r="K358" s="11">
        <v>73.98</v>
      </c>
      <c r="L358" s="8">
        <v>2025</v>
      </c>
      <c r="M358" s="8" t="s">
        <v>32</v>
      </c>
    </row>
    <row r="359" spans="1:13">
      <c r="A359" s="8" t="s">
        <v>423</v>
      </c>
      <c r="B359" s="9">
        <v>45967</v>
      </c>
      <c r="C359" s="8" t="s">
        <v>52</v>
      </c>
      <c r="D359" s="8" t="s">
        <v>29</v>
      </c>
      <c r="E359" s="8" t="s">
        <v>76</v>
      </c>
      <c r="F359" s="8" t="s">
        <v>85</v>
      </c>
      <c r="G359" s="10">
        <v>2</v>
      </c>
      <c r="H359" s="11">
        <v>13.47</v>
      </c>
      <c r="I359" s="11">
        <v>26.94</v>
      </c>
      <c r="J359" s="11">
        <v>9.98</v>
      </c>
      <c r="K359" s="11">
        <v>16.96</v>
      </c>
      <c r="L359" s="8">
        <v>2025</v>
      </c>
      <c r="M359" s="8" t="s">
        <v>41</v>
      </c>
    </row>
    <row r="360" spans="1:13">
      <c r="A360" s="8" t="s">
        <v>424</v>
      </c>
      <c r="B360" s="9">
        <v>45970</v>
      </c>
      <c r="C360" s="8" t="s">
        <v>28</v>
      </c>
      <c r="D360" s="8" t="s">
        <v>38</v>
      </c>
      <c r="E360" s="8" t="s">
        <v>39</v>
      </c>
      <c r="F360" s="8" t="s">
        <v>66</v>
      </c>
      <c r="G360" s="10">
        <v>3</v>
      </c>
      <c r="H360" s="11">
        <v>51.49</v>
      </c>
      <c r="I360" s="11">
        <v>154.47</v>
      </c>
      <c r="J360" s="11">
        <v>70.08</v>
      </c>
      <c r="K360" s="11">
        <v>84.39</v>
      </c>
      <c r="L360" s="8">
        <v>2025</v>
      </c>
      <c r="M360" s="8" t="s">
        <v>41</v>
      </c>
    </row>
    <row r="361" spans="1:13">
      <c r="A361" s="8" t="s">
        <v>425</v>
      </c>
      <c r="B361" s="9">
        <v>46100</v>
      </c>
      <c r="C361" s="8" t="s">
        <v>52</v>
      </c>
      <c r="D361" s="8" t="s">
        <v>29</v>
      </c>
      <c r="E361" s="8" t="s">
        <v>30</v>
      </c>
      <c r="F361" s="8" t="s">
        <v>45</v>
      </c>
      <c r="G361" s="10">
        <v>11</v>
      </c>
      <c r="H361" s="11">
        <v>22.09</v>
      </c>
      <c r="I361" s="11">
        <v>242.99</v>
      </c>
      <c r="J361" s="11">
        <v>104.32</v>
      </c>
      <c r="K361" s="11">
        <v>138.66999999999999</v>
      </c>
      <c r="L361" s="8">
        <v>2026</v>
      </c>
      <c r="M361" s="8" t="s">
        <v>77</v>
      </c>
    </row>
    <row r="362" spans="1:13">
      <c r="A362" s="8" t="s">
        <v>426</v>
      </c>
      <c r="B362" s="9">
        <v>45662</v>
      </c>
      <c r="C362" s="8" t="s">
        <v>28</v>
      </c>
      <c r="D362" s="8" t="s">
        <v>29</v>
      </c>
      <c r="E362" s="8" t="s">
        <v>30</v>
      </c>
      <c r="F362" s="8" t="s">
        <v>31</v>
      </c>
      <c r="G362" s="10">
        <v>9</v>
      </c>
      <c r="H362" s="11">
        <v>22.96</v>
      </c>
      <c r="I362" s="11">
        <v>206.64</v>
      </c>
      <c r="J362" s="11">
        <v>85.03</v>
      </c>
      <c r="K362" s="11">
        <v>121.61</v>
      </c>
      <c r="L362" s="8">
        <v>2025</v>
      </c>
      <c r="M362" s="8" t="s">
        <v>36</v>
      </c>
    </row>
    <row r="363" spans="1:13">
      <c r="A363" s="8" t="s">
        <v>427</v>
      </c>
      <c r="B363" s="9">
        <v>46246</v>
      </c>
      <c r="C363" s="8" t="s">
        <v>56</v>
      </c>
      <c r="D363" s="8" t="s">
        <v>29</v>
      </c>
      <c r="E363" s="8" t="s">
        <v>35</v>
      </c>
      <c r="F363" s="8" t="s">
        <v>49</v>
      </c>
      <c r="G363" s="10">
        <v>1</v>
      </c>
      <c r="H363" s="11">
        <v>38.97</v>
      </c>
      <c r="I363" s="11">
        <v>38.97</v>
      </c>
      <c r="J363" s="11">
        <v>16.77</v>
      </c>
      <c r="K363" s="11">
        <v>22.2</v>
      </c>
      <c r="L363" s="8">
        <v>2026</v>
      </c>
      <c r="M363" s="8" t="s">
        <v>62</v>
      </c>
    </row>
    <row r="364" spans="1:13">
      <c r="A364" s="8" t="s">
        <v>428</v>
      </c>
      <c r="B364" s="9">
        <v>45682</v>
      </c>
      <c r="C364" s="8" t="s">
        <v>52</v>
      </c>
      <c r="D364" s="8" t="s">
        <v>43</v>
      </c>
      <c r="E364" s="8" t="s">
        <v>65</v>
      </c>
      <c r="F364" s="8" t="s">
        <v>40</v>
      </c>
      <c r="G364" s="10">
        <v>5</v>
      </c>
      <c r="H364" s="11">
        <v>167.24</v>
      </c>
      <c r="I364" s="11">
        <v>836.2</v>
      </c>
      <c r="J364" s="11">
        <v>469.83</v>
      </c>
      <c r="K364" s="11">
        <v>366.37</v>
      </c>
      <c r="L364" s="8">
        <v>2025</v>
      </c>
      <c r="M364" s="8" t="s">
        <v>36</v>
      </c>
    </row>
    <row r="365" spans="1:13">
      <c r="A365" s="8" t="s">
        <v>429</v>
      </c>
      <c r="B365" s="9">
        <v>45843</v>
      </c>
      <c r="C365" s="8" t="s">
        <v>34</v>
      </c>
      <c r="D365" s="8" t="s">
        <v>43</v>
      </c>
      <c r="E365" s="8" t="s">
        <v>65</v>
      </c>
      <c r="F365" s="8" t="s">
        <v>40</v>
      </c>
      <c r="G365" s="10">
        <v>4</v>
      </c>
      <c r="H365" s="11">
        <v>184.55</v>
      </c>
      <c r="I365" s="11">
        <v>738.2</v>
      </c>
      <c r="J365" s="11">
        <v>424.57</v>
      </c>
      <c r="K365" s="11">
        <v>313.63</v>
      </c>
      <c r="L365" s="8">
        <v>2025</v>
      </c>
      <c r="M365" s="8" t="s">
        <v>69</v>
      </c>
    </row>
    <row r="366" spans="1:13">
      <c r="A366" s="8" t="s">
        <v>430</v>
      </c>
      <c r="B366" s="9">
        <v>45699</v>
      </c>
      <c r="C366" s="8" t="s">
        <v>56</v>
      </c>
      <c r="D366" s="8" t="s">
        <v>43</v>
      </c>
      <c r="E366" s="8" t="s">
        <v>44</v>
      </c>
      <c r="F366" s="8" t="s">
        <v>66</v>
      </c>
      <c r="G366" s="10">
        <v>4</v>
      </c>
      <c r="H366" s="11">
        <v>419.39</v>
      </c>
      <c r="I366" s="11">
        <v>1677.56</v>
      </c>
      <c r="J366" s="11">
        <v>994.6</v>
      </c>
      <c r="K366" s="11">
        <v>682.96</v>
      </c>
      <c r="L366" s="8">
        <v>2025</v>
      </c>
      <c r="M366" s="8" t="s">
        <v>83</v>
      </c>
    </row>
    <row r="367" spans="1:13">
      <c r="A367" s="8" t="s">
        <v>431</v>
      </c>
      <c r="B367" s="9">
        <v>45768</v>
      </c>
      <c r="C367" s="8" t="s">
        <v>52</v>
      </c>
      <c r="D367" s="8" t="s">
        <v>43</v>
      </c>
      <c r="E367" s="8" t="s">
        <v>44</v>
      </c>
      <c r="F367" s="8" t="s">
        <v>45</v>
      </c>
      <c r="G367" s="10">
        <v>2</v>
      </c>
      <c r="H367" s="11">
        <v>460.77</v>
      </c>
      <c r="I367" s="11">
        <v>921.54</v>
      </c>
      <c r="J367" s="11">
        <v>562.82000000000005</v>
      </c>
      <c r="K367" s="11">
        <v>358.72</v>
      </c>
      <c r="L367" s="8">
        <v>2025</v>
      </c>
      <c r="M367" s="8" t="s">
        <v>46</v>
      </c>
    </row>
    <row r="368" spans="1:13">
      <c r="A368" s="8" t="s">
        <v>432</v>
      </c>
      <c r="B368" s="9">
        <v>46159</v>
      </c>
      <c r="C368" s="8" t="s">
        <v>34</v>
      </c>
      <c r="D368" s="8" t="s">
        <v>29</v>
      </c>
      <c r="E368" s="8" t="s">
        <v>30</v>
      </c>
      <c r="F368" s="8" t="s">
        <v>66</v>
      </c>
      <c r="G368" s="10">
        <v>3</v>
      </c>
      <c r="H368" s="11">
        <v>28.49</v>
      </c>
      <c r="I368" s="11">
        <v>85.47</v>
      </c>
      <c r="J368" s="11">
        <v>37.43</v>
      </c>
      <c r="K368" s="11">
        <v>48.04</v>
      </c>
      <c r="L368" s="8">
        <v>2026</v>
      </c>
      <c r="M368" s="8" t="s">
        <v>50</v>
      </c>
    </row>
    <row r="369" spans="1:13">
      <c r="A369" s="8" t="s">
        <v>433</v>
      </c>
      <c r="B369" s="9">
        <v>45714</v>
      </c>
      <c r="C369" s="8" t="s">
        <v>52</v>
      </c>
      <c r="D369" s="8" t="s">
        <v>38</v>
      </c>
      <c r="E369" s="8" t="s">
        <v>48</v>
      </c>
      <c r="F369" s="8" t="s">
        <v>40</v>
      </c>
      <c r="G369" s="10">
        <v>5</v>
      </c>
      <c r="H369" s="11">
        <v>190.16</v>
      </c>
      <c r="I369" s="11">
        <v>950.8</v>
      </c>
      <c r="J369" s="11">
        <v>617.61</v>
      </c>
      <c r="K369" s="11">
        <v>333.19</v>
      </c>
      <c r="L369" s="8">
        <v>2025</v>
      </c>
      <c r="M369" s="8" t="s">
        <v>83</v>
      </c>
    </row>
    <row r="370" spans="1:13">
      <c r="A370" s="8" t="s">
        <v>434</v>
      </c>
      <c r="B370" s="9">
        <v>45837</v>
      </c>
      <c r="C370" s="8" t="s">
        <v>28</v>
      </c>
      <c r="D370" s="8" t="s">
        <v>38</v>
      </c>
      <c r="E370" s="8" t="s">
        <v>134</v>
      </c>
      <c r="F370" s="8" t="s">
        <v>85</v>
      </c>
      <c r="G370" s="10">
        <v>5</v>
      </c>
      <c r="H370" s="11">
        <v>289.22000000000003</v>
      </c>
      <c r="I370" s="11">
        <v>1446.1</v>
      </c>
      <c r="J370" s="11">
        <v>1044.4100000000001</v>
      </c>
      <c r="K370" s="11">
        <v>401.69</v>
      </c>
      <c r="L370" s="8">
        <v>2025</v>
      </c>
      <c r="M370" s="8" t="s">
        <v>54</v>
      </c>
    </row>
    <row r="371" spans="1:13">
      <c r="A371" s="8" t="s">
        <v>435</v>
      </c>
      <c r="B371" s="9">
        <v>45742</v>
      </c>
      <c r="C371" s="8" t="s">
        <v>52</v>
      </c>
      <c r="D371" s="8" t="s">
        <v>29</v>
      </c>
      <c r="E371" s="8" t="s">
        <v>76</v>
      </c>
      <c r="F371" s="8" t="s">
        <v>49</v>
      </c>
      <c r="G371" s="10">
        <v>8</v>
      </c>
      <c r="H371" s="11">
        <v>12.79</v>
      </c>
      <c r="I371" s="11">
        <v>102.32</v>
      </c>
      <c r="J371" s="11">
        <v>40.729999999999997</v>
      </c>
      <c r="K371" s="11">
        <v>61.59</v>
      </c>
      <c r="L371" s="8">
        <v>2025</v>
      </c>
      <c r="M371" s="8" t="s">
        <v>77</v>
      </c>
    </row>
    <row r="372" spans="1:13">
      <c r="A372" s="8" t="s">
        <v>436</v>
      </c>
      <c r="B372" s="9">
        <v>45817</v>
      </c>
      <c r="C372" s="8" t="s">
        <v>56</v>
      </c>
      <c r="D372" s="8" t="s">
        <v>43</v>
      </c>
      <c r="E372" s="8" t="s">
        <v>57</v>
      </c>
      <c r="F372" s="8" t="s">
        <v>66</v>
      </c>
      <c r="G372" s="10">
        <v>1</v>
      </c>
      <c r="H372" s="11">
        <v>534.94000000000005</v>
      </c>
      <c r="I372" s="11">
        <v>534.94000000000005</v>
      </c>
      <c r="J372" s="11">
        <v>321.27999999999997</v>
      </c>
      <c r="K372" s="11">
        <v>213.66</v>
      </c>
      <c r="L372" s="8">
        <v>2025</v>
      </c>
      <c r="M372" s="8" t="s">
        <v>54</v>
      </c>
    </row>
    <row r="373" spans="1:13">
      <c r="A373" s="8" t="s">
        <v>437</v>
      </c>
      <c r="B373" s="9">
        <v>46181</v>
      </c>
      <c r="C373" s="8" t="s">
        <v>28</v>
      </c>
      <c r="D373" s="8" t="s">
        <v>43</v>
      </c>
      <c r="E373" s="8" t="s">
        <v>94</v>
      </c>
      <c r="F373" s="8" t="s">
        <v>85</v>
      </c>
      <c r="G373" s="10">
        <v>2</v>
      </c>
      <c r="H373" s="11">
        <v>278.27</v>
      </c>
      <c r="I373" s="11">
        <v>556.54</v>
      </c>
      <c r="J373" s="11">
        <v>347.37</v>
      </c>
      <c r="K373" s="11">
        <v>209.17</v>
      </c>
      <c r="L373" s="8">
        <v>2026</v>
      </c>
      <c r="M373" s="8" t="s">
        <v>54</v>
      </c>
    </row>
    <row r="374" spans="1:13">
      <c r="A374" s="8" t="s">
        <v>438</v>
      </c>
      <c r="B374" s="9">
        <v>46121</v>
      </c>
      <c r="C374" s="8" t="s">
        <v>52</v>
      </c>
      <c r="D374" s="8" t="s">
        <v>38</v>
      </c>
      <c r="E374" s="8" t="s">
        <v>39</v>
      </c>
      <c r="F374" s="8" t="s">
        <v>74</v>
      </c>
      <c r="G374" s="10">
        <v>5</v>
      </c>
      <c r="H374" s="11">
        <v>55.71</v>
      </c>
      <c r="I374" s="11">
        <v>278.55</v>
      </c>
      <c r="J374" s="11">
        <v>124.19</v>
      </c>
      <c r="K374" s="11">
        <v>154.36000000000001</v>
      </c>
      <c r="L374" s="8">
        <v>2026</v>
      </c>
      <c r="M374" s="8" t="s">
        <v>46</v>
      </c>
    </row>
    <row r="375" spans="1:13">
      <c r="A375" s="8" t="s">
        <v>439</v>
      </c>
      <c r="B375" s="9">
        <v>46069</v>
      </c>
      <c r="C375" s="8" t="s">
        <v>34</v>
      </c>
      <c r="D375" s="8" t="s">
        <v>43</v>
      </c>
      <c r="E375" s="8" t="s">
        <v>65</v>
      </c>
      <c r="F375" s="8" t="s">
        <v>85</v>
      </c>
      <c r="G375" s="10">
        <v>3</v>
      </c>
      <c r="H375" s="11">
        <v>164.58</v>
      </c>
      <c r="I375" s="11">
        <v>493.74</v>
      </c>
      <c r="J375" s="11">
        <v>285.3</v>
      </c>
      <c r="K375" s="11">
        <v>208.44</v>
      </c>
      <c r="L375" s="8">
        <v>2026</v>
      </c>
      <c r="M375" s="8" t="s">
        <v>83</v>
      </c>
    </row>
    <row r="376" spans="1:13">
      <c r="A376" s="8" t="s">
        <v>440</v>
      </c>
      <c r="B376" s="9">
        <v>45752</v>
      </c>
      <c r="C376" s="8" t="s">
        <v>34</v>
      </c>
      <c r="D376" s="8" t="s">
        <v>43</v>
      </c>
      <c r="E376" s="8" t="s">
        <v>94</v>
      </c>
      <c r="F376" s="8" t="s">
        <v>40</v>
      </c>
      <c r="G376" s="10">
        <v>5</v>
      </c>
      <c r="H376" s="11">
        <v>317.63</v>
      </c>
      <c r="I376" s="11">
        <v>1588.15</v>
      </c>
      <c r="J376" s="11">
        <v>939.48</v>
      </c>
      <c r="K376" s="11">
        <v>648.66999999999996</v>
      </c>
      <c r="L376" s="8">
        <v>2025</v>
      </c>
      <c r="M376" s="8" t="s">
        <v>46</v>
      </c>
    </row>
    <row r="377" spans="1:13">
      <c r="A377" s="8" t="s">
        <v>441</v>
      </c>
      <c r="B377" s="9">
        <v>45865</v>
      </c>
      <c r="C377" s="8" t="s">
        <v>52</v>
      </c>
      <c r="D377" s="8" t="s">
        <v>43</v>
      </c>
      <c r="E377" s="8" t="s">
        <v>44</v>
      </c>
      <c r="F377" s="8" t="s">
        <v>31</v>
      </c>
      <c r="G377" s="10">
        <v>4</v>
      </c>
      <c r="H377" s="11">
        <v>409.81</v>
      </c>
      <c r="I377" s="11">
        <v>1639.24</v>
      </c>
      <c r="J377" s="11">
        <v>1024.68</v>
      </c>
      <c r="K377" s="11">
        <v>614.55999999999995</v>
      </c>
      <c r="L377" s="8">
        <v>2025</v>
      </c>
      <c r="M377" s="8" t="s">
        <v>69</v>
      </c>
    </row>
    <row r="378" spans="1:13">
      <c r="A378" s="8" t="s">
        <v>442</v>
      </c>
      <c r="B378" s="9">
        <v>45844</v>
      </c>
      <c r="C378" s="8" t="s">
        <v>52</v>
      </c>
      <c r="D378" s="8" t="s">
        <v>43</v>
      </c>
      <c r="E378" s="8" t="s">
        <v>65</v>
      </c>
      <c r="F378" s="8" t="s">
        <v>85</v>
      </c>
      <c r="G378" s="10">
        <v>1</v>
      </c>
      <c r="H378" s="11">
        <v>197.78</v>
      </c>
      <c r="I378" s="11">
        <v>197.78</v>
      </c>
      <c r="J378" s="11">
        <v>106.35</v>
      </c>
      <c r="K378" s="11">
        <v>91.43</v>
      </c>
      <c r="L378" s="8">
        <v>2025</v>
      </c>
      <c r="M378" s="8" t="s">
        <v>69</v>
      </c>
    </row>
    <row r="379" spans="1:13">
      <c r="A379" s="8" t="s">
        <v>443</v>
      </c>
      <c r="B379" s="9">
        <v>46134</v>
      </c>
      <c r="C379" s="8" t="s">
        <v>56</v>
      </c>
      <c r="D379" s="8" t="s">
        <v>43</v>
      </c>
      <c r="E379" s="8" t="s">
        <v>57</v>
      </c>
      <c r="F379" s="8" t="s">
        <v>66</v>
      </c>
      <c r="G379" s="10">
        <v>2</v>
      </c>
      <c r="H379" s="11">
        <v>577.42999999999995</v>
      </c>
      <c r="I379" s="11">
        <v>1154.8599999999999</v>
      </c>
      <c r="J379" s="11">
        <v>718.33</v>
      </c>
      <c r="K379" s="11">
        <v>436.53</v>
      </c>
      <c r="L379" s="8">
        <v>2026</v>
      </c>
      <c r="M379" s="8" t="s">
        <v>46</v>
      </c>
    </row>
    <row r="380" spans="1:13">
      <c r="A380" s="8" t="s">
        <v>444</v>
      </c>
      <c r="B380" s="9">
        <v>46145</v>
      </c>
      <c r="C380" s="8" t="s">
        <v>34</v>
      </c>
      <c r="D380" s="8" t="s">
        <v>38</v>
      </c>
      <c r="E380" s="8" t="s">
        <v>134</v>
      </c>
      <c r="F380" s="8" t="s">
        <v>53</v>
      </c>
      <c r="G380" s="10">
        <v>4</v>
      </c>
      <c r="H380" s="11">
        <v>354.44</v>
      </c>
      <c r="I380" s="11">
        <v>1417.76</v>
      </c>
      <c r="J380" s="11">
        <v>1024.1600000000001</v>
      </c>
      <c r="K380" s="11">
        <v>393.6</v>
      </c>
      <c r="L380" s="8">
        <v>2026</v>
      </c>
      <c r="M380" s="8" t="s">
        <v>50</v>
      </c>
    </row>
    <row r="381" spans="1:13">
      <c r="A381" s="8" t="s">
        <v>445</v>
      </c>
      <c r="B381" s="9">
        <v>45977</v>
      </c>
      <c r="C381" s="8" t="s">
        <v>56</v>
      </c>
      <c r="D381" s="8" t="s">
        <v>29</v>
      </c>
      <c r="E381" s="8" t="s">
        <v>76</v>
      </c>
      <c r="F381" s="8" t="s">
        <v>49</v>
      </c>
      <c r="G381" s="10">
        <v>12</v>
      </c>
      <c r="H381" s="11">
        <v>11.15</v>
      </c>
      <c r="I381" s="11">
        <v>133.80000000000001</v>
      </c>
      <c r="J381" s="11">
        <v>53.02</v>
      </c>
      <c r="K381" s="11">
        <v>80.78</v>
      </c>
      <c r="L381" s="8">
        <v>2025</v>
      </c>
      <c r="M381" s="8" t="s">
        <v>41</v>
      </c>
    </row>
    <row r="382" spans="1:13">
      <c r="A382" s="8" t="s">
        <v>446</v>
      </c>
      <c r="B382" s="9">
        <v>45714</v>
      </c>
      <c r="C382" s="8" t="s">
        <v>34</v>
      </c>
      <c r="D382" s="8" t="s">
        <v>38</v>
      </c>
      <c r="E382" s="8" t="s">
        <v>48</v>
      </c>
      <c r="F382" s="8" t="s">
        <v>85</v>
      </c>
      <c r="G382" s="10">
        <v>2</v>
      </c>
      <c r="H382" s="11">
        <v>219.98</v>
      </c>
      <c r="I382" s="11">
        <v>439.96</v>
      </c>
      <c r="J382" s="11">
        <v>301.02</v>
      </c>
      <c r="K382" s="11">
        <v>138.94</v>
      </c>
      <c r="L382" s="8">
        <v>2025</v>
      </c>
      <c r="M382" s="8" t="s">
        <v>83</v>
      </c>
    </row>
    <row r="383" spans="1:13">
      <c r="A383" s="8" t="s">
        <v>447</v>
      </c>
      <c r="B383" s="9">
        <v>45783</v>
      </c>
      <c r="C383" s="8" t="s">
        <v>52</v>
      </c>
      <c r="D383" s="8" t="s">
        <v>43</v>
      </c>
      <c r="E383" s="8" t="s">
        <v>44</v>
      </c>
      <c r="F383" s="8" t="s">
        <v>74</v>
      </c>
      <c r="G383" s="10">
        <v>5</v>
      </c>
      <c r="H383" s="11">
        <v>434.5</v>
      </c>
      <c r="I383" s="11">
        <v>2172.5</v>
      </c>
      <c r="J383" s="11">
        <v>1416.26</v>
      </c>
      <c r="K383" s="11">
        <v>756.24</v>
      </c>
      <c r="L383" s="8">
        <v>2025</v>
      </c>
      <c r="M383" s="8" t="s">
        <v>50</v>
      </c>
    </row>
    <row r="384" spans="1:13">
      <c r="A384" s="8" t="s">
        <v>448</v>
      </c>
      <c r="B384" s="9">
        <v>45774</v>
      </c>
      <c r="C384" s="8" t="s">
        <v>34</v>
      </c>
      <c r="D384" s="8" t="s">
        <v>38</v>
      </c>
      <c r="E384" s="8" t="s">
        <v>48</v>
      </c>
      <c r="F384" s="8" t="s">
        <v>74</v>
      </c>
      <c r="G384" s="10">
        <v>2</v>
      </c>
      <c r="H384" s="11">
        <v>224.97</v>
      </c>
      <c r="I384" s="11">
        <v>449.94</v>
      </c>
      <c r="J384" s="11">
        <v>281.04000000000002</v>
      </c>
      <c r="K384" s="11">
        <v>168.9</v>
      </c>
      <c r="L384" s="8">
        <v>2025</v>
      </c>
      <c r="M384" s="8" t="s">
        <v>46</v>
      </c>
    </row>
    <row r="385" spans="1:13">
      <c r="A385" s="8" t="s">
        <v>449</v>
      </c>
      <c r="B385" s="9">
        <v>45984</v>
      </c>
      <c r="C385" s="8" t="s">
        <v>52</v>
      </c>
      <c r="D385" s="8" t="s">
        <v>43</v>
      </c>
      <c r="E385" s="8" t="s">
        <v>65</v>
      </c>
      <c r="F385" s="8" t="s">
        <v>85</v>
      </c>
      <c r="G385" s="10">
        <v>4</v>
      </c>
      <c r="H385" s="11">
        <v>165.86</v>
      </c>
      <c r="I385" s="11">
        <v>663.44</v>
      </c>
      <c r="J385" s="11">
        <v>397.53</v>
      </c>
      <c r="K385" s="11">
        <v>265.91000000000003</v>
      </c>
      <c r="L385" s="8">
        <v>2025</v>
      </c>
      <c r="M385" s="8" t="s">
        <v>41</v>
      </c>
    </row>
    <row r="386" spans="1:13">
      <c r="A386" s="8" t="s">
        <v>450</v>
      </c>
      <c r="B386" s="9">
        <v>46207</v>
      </c>
      <c r="C386" s="8" t="s">
        <v>56</v>
      </c>
      <c r="D386" s="8" t="s">
        <v>29</v>
      </c>
      <c r="E386" s="8" t="s">
        <v>35</v>
      </c>
      <c r="F386" s="8" t="s">
        <v>74</v>
      </c>
      <c r="G386" s="10">
        <v>12</v>
      </c>
      <c r="H386" s="11">
        <v>44.02</v>
      </c>
      <c r="I386" s="11">
        <v>528.24</v>
      </c>
      <c r="J386" s="11">
        <v>263.93</v>
      </c>
      <c r="K386" s="11">
        <v>264.31</v>
      </c>
      <c r="L386" s="8">
        <v>2026</v>
      </c>
      <c r="M386" s="8" t="s">
        <v>69</v>
      </c>
    </row>
    <row r="387" spans="1:13">
      <c r="A387" s="8" t="s">
        <v>451</v>
      </c>
      <c r="B387" s="9">
        <v>46243</v>
      </c>
      <c r="C387" s="8" t="s">
        <v>34</v>
      </c>
      <c r="D387" s="8" t="s">
        <v>29</v>
      </c>
      <c r="E387" s="8" t="s">
        <v>35</v>
      </c>
      <c r="F387" s="8" t="s">
        <v>85</v>
      </c>
      <c r="G387" s="10">
        <v>4</v>
      </c>
      <c r="H387" s="11">
        <v>49.13</v>
      </c>
      <c r="I387" s="11">
        <v>196.52</v>
      </c>
      <c r="J387" s="11">
        <v>90.99</v>
      </c>
      <c r="K387" s="11">
        <v>105.53</v>
      </c>
      <c r="L387" s="8">
        <v>2026</v>
      </c>
      <c r="M387" s="8" t="s">
        <v>62</v>
      </c>
    </row>
    <row r="388" spans="1:13">
      <c r="A388" s="8" t="s">
        <v>452</v>
      </c>
      <c r="B388" s="9">
        <v>46198</v>
      </c>
      <c r="C388" s="8" t="s">
        <v>34</v>
      </c>
      <c r="D388" s="8" t="s">
        <v>43</v>
      </c>
      <c r="E388" s="8" t="s">
        <v>44</v>
      </c>
      <c r="F388" s="8" t="s">
        <v>45</v>
      </c>
      <c r="G388" s="10">
        <v>4</v>
      </c>
      <c r="H388" s="11">
        <v>429.99</v>
      </c>
      <c r="I388" s="11">
        <v>1719.96</v>
      </c>
      <c r="J388" s="11">
        <v>1002.31</v>
      </c>
      <c r="K388" s="11">
        <v>717.65</v>
      </c>
      <c r="L388" s="8">
        <v>2026</v>
      </c>
      <c r="M388" s="8" t="s">
        <v>54</v>
      </c>
    </row>
    <row r="389" spans="1:13">
      <c r="A389" s="8" t="s">
        <v>453</v>
      </c>
      <c r="B389" s="9">
        <v>45856</v>
      </c>
      <c r="C389" s="8" t="s">
        <v>52</v>
      </c>
      <c r="D389" s="8" t="s">
        <v>38</v>
      </c>
      <c r="E389" s="8" t="s">
        <v>39</v>
      </c>
      <c r="F389" s="8" t="s">
        <v>31</v>
      </c>
      <c r="G389" s="10">
        <v>3</v>
      </c>
      <c r="H389" s="11">
        <v>51.75</v>
      </c>
      <c r="I389" s="11">
        <v>155.25</v>
      </c>
      <c r="J389" s="11">
        <v>68.790000000000006</v>
      </c>
      <c r="K389" s="11">
        <v>86.46</v>
      </c>
      <c r="L389" s="8">
        <v>2025</v>
      </c>
      <c r="M389" s="8" t="s">
        <v>69</v>
      </c>
    </row>
    <row r="390" spans="1:13">
      <c r="A390" s="8" t="s">
        <v>454</v>
      </c>
      <c r="B390" s="9">
        <v>46184</v>
      </c>
      <c r="C390" s="8" t="s">
        <v>28</v>
      </c>
      <c r="D390" s="8" t="s">
        <v>43</v>
      </c>
      <c r="E390" s="8" t="s">
        <v>57</v>
      </c>
      <c r="F390" s="8" t="s">
        <v>31</v>
      </c>
      <c r="G390" s="10">
        <v>1</v>
      </c>
      <c r="H390" s="11">
        <v>502.22</v>
      </c>
      <c r="I390" s="11">
        <v>502.22</v>
      </c>
      <c r="J390" s="11">
        <v>337.12</v>
      </c>
      <c r="K390" s="11">
        <v>165.1</v>
      </c>
      <c r="L390" s="8">
        <v>2026</v>
      </c>
      <c r="M390" s="8" t="s">
        <v>54</v>
      </c>
    </row>
    <row r="391" spans="1:13">
      <c r="A391" s="8" t="s">
        <v>455</v>
      </c>
      <c r="B391" s="9">
        <v>46053</v>
      </c>
      <c r="C391" s="8" t="s">
        <v>28</v>
      </c>
      <c r="D391" s="8" t="s">
        <v>38</v>
      </c>
      <c r="E391" s="8" t="s">
        <v>39</v>
      </c>
      <c r="F391" s="8" t="s">
        <v>45</v>
      </c>
      <c r="G391" s="10">
        <v>1</v>
      </c>
      <c r="H391" s="11">
        <v>61.87</v>
      </c>
      <c r="I391" s="11">
        <v>61.87</v>
      </c>
      <c r="J391" s="11">
        <v>26.87</v>
      </c>
      <c r="K391" s="11">
        <v>35</v>
      </c>
      <c r="L391" s="8">
        <v>2026</v>
      </c>
      <c r="M391" s="8" t="s">
        <v>36</v>
      </c>
    </row>
    <row r="392" spans="1:13">
      <c r="A392" s="8" t="s">
        <v>456</v>
      </c>
      <c r="B392" s="9">
        <v>45886</v>
      </c>
      <c r="C392" s="8" t="s">
        <v>52</v>
      </c>
      <c r="D392" s="8" t="s">
        <v>29</v>
      </c>
      <c r="E392" s="8" t="s">
        <v>116</v>
      </c>
      <c r="F392" s="8" t="s">
        <v>53</v>
      </c>
      <c r="G392" s="10">
        <v>8</v>
      </c>
      <c r="H392" s="11">
        <v>16.739999999999998</v>
      </c>
      <c r="I392" s="11">
        <v>133.91999999999999</v>
      </c>
      <c r="J392" s="11">
        <v>50.67</v>
      </c>
      <c r="K392" s="11">
        <v>83.25</v>
      </c>
      <c r="L392" s="8">
        <v>2025</v>
      </c>
      <c r="M392" s="8" t="s">
        <v>62</v>
      </c>
    </row>
    <row r="393" spans="1:13">
      <c r="A393" s="8" t="s">
        <v>457</v>
      </c>
      <c r="B393" s="9">
        <v>46058</v>
      </c>
      <c r="C393" s="8" t="s">
        <v>52</v>
      </c>
      <c r="D393" s="8" t="s">
        <v>29</v>
      </c>
      <c r="E393" s="8" t="s">
        <v>30</v>
      </c>
      <c r="F393" s="8" t="s">
        <v>85</v>
      </c>
      <c r="G393" s="10">
        <v>2</v>
      </c>
      <c r="H393" s="11">
        <v>23.11</v>
      </c>
      <c r="I393" s="11">
        <v>46.22</v>
      </c>
      <c r="J393" s="11">
        <v>20.309999999999999</v>
      </c>
      <c r="K393" s="11">
        <v>25.91</v>
      </c>
      <c r="L393" s="8">
        <v>2026</v>
      </c>
      <c r="M393" s="8" t="s">
        <v>83</v>
      </c>
    </row>
    <row r="394" spans="1:13">
      <c r="A394" s="8" t="s">
        <v>458</v>
      </c>
      <c r="B394" s="9">
        <v>45950</v>
      </c>
      <c r="C394" s="8" t="s">
        <v>34</v>
      </c>
      <c r="D394" s="8" t="s">
        <v>29</v>
      </c>
      <c r="E394" s="8" t="s">
        <v>35</v>
      </c>
      <c r="F394" s="8" t="s">
        <v>85</v>
      </c>
      <c r="G394" s="10">
        <v>2</v>
      </c>
      <c r="H394" s="11">
        <v>48.34</v>
      </c>
      <c r="I394" s="11">
        <v>96.68</v>
      </c>
      <c r="J394" s="11">
        <v>41.8</v>
      </c>
      <c r="K394" s="11">
        <v>54.88</v>
      </c>
      <c r="L394" s="8">
        <v>2025</v>
      </c>
      <c r="M394" s="8" t="s">
        <v>58</v>
      </c>
    </row>
    <row r="395" spans="1:13">
      <c r="A395" s="8" t="s">
        <v>459</v>
      </c>
      <c r="B395" s="9">
        <v>46025</v>
      </c>
      <c r="C395" s="8" t="s">
        <v>28</v>
      </c>
      <c r="D395" s="8" t="s">
        <v>43</v>
      </c>
      <c r="E395" s="8" t="s">
        <v>57</v>
      </c>
      <c r="F395" s="8" t="s">
        <v>74</v>
      </c>
      <c r="G395" s="10">
        <v>2</v>
      </c>
      <c r="H395" s="11">
        <v>516.29999999999995</v>
      </c>
      <c r="I395" s="11">
        <v>1032.5999999999999</v>
      </c>
      <c r="J395" s="11">
        <v>687.63</v>
      </c>
      <c r="K395" s="11">
        <v>344.97</v>
      </c>
      <c r="L395" s="8">
        <v>2026</v>
      </c>
      <c r="M395" s="8" t="s">
        <v>36</v>
      </c>
    </row>
    <row r="396" spans="1:13">
      <c r="A396" s="8" t="s">
        <v>460</v>
      </c>
      <c r="B396" s="9">
        <v>46201</v>
      </c>
      <c r="C396" s="8" t="s">
        <v>34</v>
      </c>
      <c r="D396" s="8" t="s">
        <v>29</v>
      </c>
      <c r="E396" s="8" t="s">
        <v>30</v>
      </c>
      <c r="F396" s="8" t="s">
        <v>53</v>
      </c>
      <c r="G396" s="10">
        <v>2</v>
      </c>
      <c r="H396" s="11">
        <v>28.13</v>
      </c>
      <c r="I396" s="11">
        <v>56.26</v>
      </c>
      <c r="J396" s="11">
        <v>23.32</v>
      </c>
      <c r="K396" s="11">
        <v>32.94</v>
      </c>
      <c r="L396" s="8">
        <v>2026</v>
      </c>
      <c r="M396" s="8" t="s">
        <v>54</v>
      </c>
    </row>
    <row r="397" spans="1:13">
      <c r="A397" s="8" t="s">
        <v>461</v>
      </c>
      <c r="B397" s="9">
        <v>45739</v>
      </c>
      <c r="C397" s="8" t="s">
        <v>34</v>
      </c>
      <c r="D397" s="8" t="s">
        <v>38</v>
      </c>
      <c r="E397" s="8" t="s">
        <v>134</v>
      </c>
      <c r="F397" s="8" t="s">
        <v>53</v>
      </c>
      <c r="G397" s="10">
        <v>4</v>
      </c>
      <c r="H397" s="11">
        <v>311.11</v>
      </c>
      <c r="I397" s="11">
        <v>1244.44</v>
      </c>
      <c r="J397" s="11">
        <v>913.47</v>
      </c>
      <c r="K397" s="11">
        <v>330.97</v>
      </c>
      <c r="L397" s="8">
        <v>2025</v>
      </c>
      <c r="M397" s="8" t="s">
        <v>77</v>
      </c>
    </row>
    <row r="398" spans="1:13">
      <c r="A398" s="8" t="s">
        <v>462</v>
      </c>
      <c r="B398" s="9">
        <v>45769</v>
      </c>
      <c r="C398" s="8" t="s">
        <v>56</v>
      </c>
      <c r="D398" s="8" t="s">
        <v>29</v>
      </c>
      <c r="E398" s="8" t="s">
        <v>35</v>
      </c>
      <c r="F398" s="8" t="s">
        <v>66</v>
      </c>
      <c r="G398" s="10">
        <v>8</v>
      </c>
      <c r="H398" s="11">
        <v>49.68</v>
      </c>
      <c r="I398" s="11">
        <v>397.44</v>
      </c>
      <c r="J398" s="11">
        <v>191.73</v>
      </c>
      <c r="K398" s="11">
        <v>205.71</v>
      </c>
      <c r="L398" s="8">
        <v>2025</v>
      </c>
      <c r="M398" s="8" t="s">
        <v>46</v>
      </c>
    </row>
    <row r="399" spans="1:13">
      <c r="A399" s="8" t="s">
        <v>463</v>
      </c>
      <c r="B399" s="9">
        <v>45864</v>
      </c>
      <c r="C399" s="8" t="s">
        <v>56</v>
      </c>
      <c r="D399" s="8" t="s">
        <v>43</v>
      </c>
      <c r="E399" s="8" t="s">
        <v>44</v>
      </c>
      <c r="F399" s="8" t="s">
        <v>74</v>
      </c>
      <c r="G399" s="10">
        <v>1</v>
      </c>
      <c r="H399" s="11">
        <v>463.74</v>
      </c>
      <c r="I399" s="11">
        <v>463.74</v>
      </c>
      <c r="J399" s="11">
        <v>291.88</v>
      </c>
      <c r="K399" s="11">
        <v>171.86</v>
      </c>
      <c r="L399" s="8">
        <v>2025</v>
      </c>
      <c r="M399" s="8" t="s">
        <v>69</v>
      </c>
    </row>
    <row r="400" spans="1:13">
      <c r="A400" s="8" t="s">
        <v>464</v>
      </c>
      <c r="B400" s="9">
        <v>45732</v>
      </c>
      <c r="C400" s="8" t="s">
        <v>52</v>
      </c>
      <c r="D400" s="8" t="s">
        <v>43</v>
      </c>
      <c r="E400" s="8" t="s">
        <v>57</v>
      </c>
      <c r="F400" s="8" t="s">
        <v>49</v>
      </c>
      <c r="G400" s="10">
        <v>3</v>
      </c>
      <c r="H400" s="11">
        <v>475.01</v>
      </c>
      <c r="I400" s="11">
        <v>1425.03</v>
      </c>
      <c r="J400" s="11">
        <v>895.63</v>
      </c>
      <c r="K400" s="11">
        <v>529.4</v>
      </c>
      <c r="L400" s="8">
        <v>2025</v>
      </c>
      <c r="M400" s="8" t="s">
        <v>77</v>
      </c>
    </row>
    <row r="401" spans="1:13">
      <c r="A401" s="8" t="s">
        <v>465</v>
      </c>
      <c r="B401" s="9">
        <v>45792</v>
      </c>
      <c r="C401" s="8" t="s">
        <v>34</v>
      </c>
      <c r="D401" s="8" t="s">
        <v>43</v>
      </c>
      <c r="E401" s="8" t="s">
        <v>44</v>
      </c>
      <c r="F401" s="8" t="s">
        <v>66</v>
      </c>
      <c r="G401" s="10">
        <v>4</v>
      </c>
      <c r="H401" s="11">
        <v>454.94</v>
      </c>
      <c r="I401" s="11">
        <v>1819.76</v>
      </c>
      <c r="J401" s="11">
        <v>1093.44</v>
      </c>
      <c r="K401" s="11">
        <v>726.32</v>
      </c>
      <c r="L401" s="8">
        <v>2025</v>
      </c>
      <c r="M401" s="8" t="s">
        <v>50</v>
      </c>
    </row>
    <row r="402" spans="1:13">
      <c r="A402" s="8" t="s">
        <v>466</v>
      </c>
      <c r="B402" s="9">
        <v>46152</v>
      </c>
      <c r="C402" s="8" t="s">
        <v>34</v>
      </c>
      <c r="D402" s="8" t="s">
        <v>43</v>
      </c>
      <c r="E402" s="8" t="s">
        <v>65</v>
      </c>
      <c r="F402" s="8" t="s">
        <v>31</v>
      </c>
      <c r="G402" s="10">
        <v>5</v>
      </c>
      <c r="H402" s="11">
        <v>157.02000000000001</v>
      </c>
      <c r="I402" s="11">
        <v>785.1</v>
      </c>
      <c r="J402" s="11">
        <v>418.31</v>
      </c>
      <c r="K402" s="11">
        <v>366.79</v>
      </c>
      <c r="L402" s="8">
        <v>2026</v>
      </c>
      <c r="M402" s="8" t="s">
        <v>50</v>
      </c>
    </row>
    <row r="403" spans="1:13">
      <c r="A403" s="8" t="s">
        <v>467</v>
      </c>
      <c r="B403" s="9">
        <v>46149</v>
      </c>
      <c r="C403" s="8" t="s">
        <v>34</v>
      </c>
      <c r="D403" s="8" t="s">
        <v>43</v>
      </c>
      <c r="E403" s="8" t="s">
        <v>94</v>
      </c>
      <c r="F403" s="8" t="s">
        <v>49</v>
      </c>
      <c r="G403" s="10">
        <v>2</v>
      </c>
      <c r="H403" s="11">
        <v>282.3</v>
      </c>
      <c r="I403" s="11">
        <v>564.6</v>
      </c>
      <c r="J403" s="11">
        <v>352.15</v>
      </c>
      <c r="K403" s="11">
        <v>212.45</v>
      </c>
      <c r="L403" s="8">
        <v>2026</v>
      </c>
      <c r="M403" s="8" t="s">
        <v>50</v>
      </c>
    </row>
    <row r="404" spans="1:13">
      <c r="A404" s="8" t="s">
        <v>468</v>
      </c>
      <c r="B404" s="9">
        <v>45770</v>
      </c>
      <c r="C404" s="8" t="s">
        <v>52</v>
      </c>
      <c r="D404" s="8" t="s">
        <v>38</v>
      </c>
      <c r="E404" s="8" t="s">
        <v>39</v>
      </c>
      <c r="F404" s="8" t="s">
        <v>31</v>
      </c>
      <c r="G404" s="10">
        <v>5</v>
      </c>
      <c r="H404" s="11">
        <v>54.71</v>
      </c>
      <c r="I404" s="11">
        <v>273.55</v>
      </c>
      <c r="J404" s="11">
        <v>110.34</v>
      </c>
      <c r="K404" s="11">
        <v>163.21</v>
      </c>
      <c r="L404" s="8">
        <v>2025</v>
      </c>
      <c r="M404" s="8" t="s">
        <v>46</v>
      </c>
    </row>
    <row r="405" spans="1:13">
      <c r="A405" s="8" t="s">
        <v>469</v>
      </c>
      <c r="B405" s="9">
        <v>45991</v>
      </c>
      <c r="C405" s="8" t="s">
        <v>52</v>
      </c>
      <c r="D405" s="8" t="s">
        <v>43</v>
      </c>
      <c r="E405" s="8" t="s">
        <v>94</v>
      </c>
      <c r="F405" s="8" t="s">
        <v>31</v>
      </c>
      <c r="G405" s="10">
        <v>2</v>
      </c>
      <c r="H405" s="11">
        <v>261.64999999999998</v>
      </c>
      <c r="I405" s="11">
        <v>523.29999999999995</v>
      </c>
      <c r="J405" s="11">
        <v>314.77999999999997</v>
      </c>
      <c r="K405" s="11">
        <v>208.52</v>
      </c>
      <c r="L405" s="8">
        <v>2025</v>
      </c>
      <c r="M405" s="8" t="s">
        <v>41</v>
      </c>
    </row>
    <row r="406" spans="1:13">
      <c r="A406" s="8" t="s">
        <v>470</v>
      </c>
      <c r="B406" s="9">
        <v>46079</v>
      </c>
      <c r="C406" s="8" t="s">
        <v>28</v>
      </c>
      <c r="D406" s="8" t="s">
        <v>43</v>
      </c>
      <c r="E406" s="8" t="s">
        <v>65</v>
      </c>
      <c r="F406" s="8" t="s">
        <v>74</v>
      </c>
      <c r="G406" s="10">
        <v>3</v>
      </c>
      <c r="H406" s="11">
        <v>155.27000000000001</v>
      </c>
      <c r="I406" s="11">
        <v>465.81</v>
      </c>
      <c r="J406" s="11">
        <v>278.23</v>
      </c>
      <c r="K406" s="11">
        <v>187.58</v>
      </c>
      <c r="L406" s="8">
        <v>2026</v>
      </c>
      <c r="M406" s="8" t="s">
        <v>83</v>
      </c>
    </row>
    <row r="407" spans="1:13">
      <c r="A407" s="8" t="s">
        <v>471</v>
      </c>
      <c r="B407" s="9">
        <v>45898</v>
      </c>
      <c r="C407" s="8" t="s">
        <v>56</v>
      </c>
      <c r="D407" s="8" t="s">
        <v>38</v>
      </c>
      <c r="E407" s="8" t="s">
        <v>134</v>
      </c>
      <c r="F407" s="8" t="s">
        <v>66</v>
      </c>
      <c r="G407" s="10">
        <v>3</v>
      </c>
      <c r="H407" s="11">
        <v>347.48</v>
      </c>
      <c r="I407" s="11">
        <v>1042.44</v>
      </c>
      <c r="J407" s="11">
        <v>783.05</v>
      </c>
      <c r="K407" s="11">
        <v>259.39</v>
      </c>
      <c r="L407" s="8">
        <v>2025</v>
      </c>
      <c r="M407" s="8" t="s">
        <v>62</v>
      </c>
    </row>
    <row r="408" spans="1:13">
      <c r="A408" s="8" t="s">
        <v>472</v>
      </c>
      <c r="B408" s="9">
        <v>46165</v>
      </c>
      <c r="C408" s="8" t="s">
        <v>52</v>
      </c>
      <c r="D408" s="8" t="s">
        <v>29</v>
      </c>
      <c r="E408" s="8" t="s">
        <v>35</v>
      </c>
      <c r="F408" s="8" t="s">
        <v>53</v>
      </c>
      <c r="G408" s="10">
        <v>10</v>
      </c>
      <c r="H408" s="11">
        <v>41.35</v>
      </c>
      <c r="I408" s="11">
        <v>413.5</v>
      </c>
      <c r="J408" s="11">
        <v>187.76</v>
      </c>
      <c r="K408" s="11">
        <v>225.74</v>
      </c>
      <c r="L408" s="8">
        <v>2026</v>
      </c>
      <c r="M408" s="8" t="s">
        <v>50</v>
      </c>
    </row>
    <row r="409" spans="1:13">
      <c r="A409" s="8" t="s">
        <v>473</v>
      </c>
      <c r="B409" s="9">
        <v>46222</v>
      </c>
      <c r="C409" s="8" t="s">
        <v>56</v>
      </c>
      <c r="D409" s="8" t="s">
        <v>43</v>
      </c>
      <c r="E409" s="8" t="s">
        <v>94</v>
      </c>
      <c r="F409" s="8" t="s">
        <v>74</v>
      </c>
      <c r="G409" s="10">
        <v>4</v>
      </c>
      <c r="H409" s="11">
        <v>316.89</v>
      </c>
      <c r="I409" s="11">
        <v>1267.56</v>
      </c>
      <c r="J409" s="11">
        <v>739.66</v>
      </c>
      <c r="K409" s="11">
        <v>527.9</v>
      </c>
      <c r="L409" s="8">
        <v>2026</v>
      </c>
      <c r="M409" s="8" t="s">
        <v>69</v>
      </c>
    </row>
    <row r="410" spans="1:13">
      <c r="A410" s="8" t="s">
        <v>474</v>
      </c>
      <c r="B410" s="9">
        <v>45793</v>
      </c>
      <c r="C410" s="8" t="s">
        <v>56</v>
      </c>
      <c r="D410" s="8" t="s">
        <v>38</v>
      </c>
      <c r="E410" s="8" t="s">
        <v>61</v>
      </c>
      <c r="F410" s="8" t="s">
        <v>49</v>
      </c>
      <c r="G410" s="10">
        <v>3</v>
      </c>
      <c r="H410" s="11">
        <v>1080.7</v>
      </c>
      <c r="I410" s="11">
        <v>3242.1</v>
      </c>
      <c r="J410" s="11">
        <v>2481.11</v>
      </c>
      <c r="K410" s="11">
        <v>760.99</v>
      </c>
      <c r="L410" s="8">
        <v>2025</v>
      </c>
      <c r="M410" s="8" t="s">
        <v>50</v>
      </c>
    </row>
    <row r="411" spans="1:13">
      <c r="A411" s="8" t="s">
        <v>475</v>
      </c>
      <c r="B411" s="9">
        <v>46097</v>
      </c>
      <c r="C411" s="8" t="s">
        <v>56</v>
      </c>
      <c r="D411" s="8" t="s">
        <v>29</v>
      </c>
      <c r="E411" s="8" t="s">
        <v>116</v>
      </c>
      <c r="F411" s="8" t="s">
        <v>45</v>
      </c>
      <c r="G411" s="10">
        <v>2</v>
      </c>
      <c r="H411" s="11">
        <v>17.649999999999999</v>
      </c>
      <c r="I411" s="11">
        <v>35.299999999999997</v>
      </c>
      <c r="J411" s="11">
        <v>13.3</v>
      </c>
      <c r="K411" s="11">
        <v>22</v>
      </c>
      <c r="L411" s="8">
        <v>2026</v>
      </c>
      <c r="M411" s="8" t="s">
        <v>77</v>
      </c>
    </row>
    <row r="412" spans="1:13">
      <c r="A412" s="8" t="s">
        <v>476</v>
      </c>
      <c r="B412" s="9">
        <v>46153</v>
      </c>
      <c r="C412" s="8" t="s">
        <v>56</v>
      </c>
      <c r="D412" s="8" t="s">
        <v>29</v>
      </c>
      <c r="E412" s="8" t="s">
        <v>30</v>
      </c>
      <c r="F412" s="8" t="s">
        <v>53</v>
      </c>
      <c r="G412" s="10">
        <v>10</v>
      </c>
      <c r="H412" s="11">
        <v>23.16</v>
      </c>
      <c r="I412" s="11">
        <v>231.6</v>
      </c>
      <c r="J412" s="11">
        <v>90.33</v>
      </c>
      <c r="K412" s="11">
        <v>141.27000000000001</v>
      </c>
      <c r="L412" s="8">
        <v>2026</v>
      </c>
      <c r="M412" s="8" t="s">
        <v>50</v>
      </c>
    </row>
    <row r="413" spans="1:13">
      <c r="A413" s="8" t="s">
        <v>477</v>
      </c>
      <c r="B413" s="9">
        <v>46174</v>
      </c>
      <c r="C413" s="8" t="s">
        <v>52</v>
      </c>
      <c r="D413" s="8" t="s">
        <v>29</v>
      </c>
      <c r="E413" s="8" t="s">
        <v>76</v>
      </c>
      <c r="F413" s="8" t="s">
        <v>53</v>
      </c>
      <c r="G413" s="10">
        <v>4</v>
      </c>
      <c r="H413" s="11">
        <v>11.92</v>
      </c>
      <c r="I413" s="11">
        <v>47.68</v>
      </c>
      <c r="J413" s="11">
        <v>16.77</v>
      </c>
      <c r="K413" s="11">
        <v>30.91</v>
      </c>
      <c r="L413" s="8">
        <v>2026</v>
      </c>
      <c r="M413" s="8" t="s">
        <v>54</v>
      </c>
    </row>
    <row r="414" spans="1:13">
      <c r="A414" s="8" t="s">
        <v>478</v>
      </c>
      <c r="B414" s="9">
        <v>45757</v>
      </c>
      <c r="C414" s="8" t="s">
        <v>52</v>
      </c>
      <c r="D414" s="8" t="s">
        <v>29</v>
      </c>
      <c r="E414" s="8" t="s">
        <v>116</v>
      </c>
      <c r="F414" s="8" t="s">
        <v>49</v>
      </c>
      <c r="G414" s="10">
        <v>7</v>
      </c>
      <c r="H414" s="11">
        <v>17.72</v>
      </c>
      <c r="I414" s="11">
        <v>124.04</v>
      </c>
      <c r="J414" s="11">
        <v>51.77</v>
      </c>
      <c r="K414" s="11">
        <v>72.27</v>
      </c>
      <c r="L414" s="8">
        <v>2025</v>
      </c>
      <c r="M414" s="8" t="s">
        <v>46</v>
      </c>
    </row>
    <row r="415" spans="1:13">
      <c r="A415" s="8" t="s">
        <v>479</v>
      </c>
      <c r="B415" s="9">
        <v>46043</v>
      </c>
      <c r="C415" s="8" t="s">
        <v>52</v>
      </c>
      <c r="D415" s="8" t="s">
        <v>43</v>
      </c>
      <c r="E415" s="8" t="s">
        <v>44</v>
      </c>
      <c r="F415" s="8" t="s">
        <v>31</v>
      </c>
      <c r="G415" s="10">
        <v>2</v>
      </c>
      <c r="H415" s="11">
        <v>444.3</v>
      </c>
      <c r="I415" s="11">
        <v>888.6</v>
      </c>
      <c r="J415" s="11">
        <v>582.05999999999995</v>
      </c>
      <c r="K415" s="11">
        <v>306.54000000000002</v>
      </c>
      <c r="L415" s="8">
        <v>2026</v>
      </c>
      <c r="M415" s="8" t="s">
        <v>36</v>
      </c>
    </row>
    <row r="416" spans="1:13">
      <c r="A416" s="8" t="s">
        <v>480</v>
      </c>
      <c r="B416" s="9">
        <v>46107</v>
      </c>
      <c r="C416" s="8" t="s">
        <v>56</v>
      </c>
      <c r="D416" s="8" t="s">
        <v>43</v>
      </c>
      <c r="E416" s="8" t="s">
        <v>57</v>
      </c>
      <c r="F416" s="8" t="s">
        <v>45</v>
      </c>
      <c r="G416" s="10">
        <v>3</v>
      </c>
      <c r="H416" s="11">
        <v>481.95</v>
      </c>
      <c r="I416" s="11">
        <v>1445.85</v>
      </c>
      <c r="J416" s="11">
        <v>868.76</v>
      </c>
      <c r="K416" s="11">
        <v>577.09</v>
      </c>
      <c r="L416" s="8">
        <v>2026</v>
      </c>
      <c r="M416" s="8" t="s">
        <v>77</v>
      </c>
    </row>
    <row r="417" spans="1:13">
      <c r="A417" s="8" t="s">
        <v>481</v>
      </c>
      <c r="B417" s="9">
        <v>45914</v>
      </c>
      <c r="C417" s="8" t="s">
        <v>56</v>
      </c>
      <c r="D417" s="8" t="s">
        <v>38</v>
      </c>
      <c r="E417" s="8" t="s">
        <v>39</v>
      </c>
      <c r="F417" s="8" t="s">
        <v>66</v>
      </c>
      <c r="G417" s="10">
        <v>4</v>
      </c>
      <c r="H417" s="11">
        <v>48.25</v>
      </c>
      <c r="I417" s="11">
        <v>193</v>
      </c>
      <c r="J417" s="11">
        <v>89.91</v>
      </c>
      <c r="K417" s="11">
        <v>103.09</v>
      </c>
      <c r="L417" s="8">
        <v>2025</v>
      </c>
      <c r="M417" s="8" t="s">
        <v>98</v>
      </c>
    </row>
    <row r="418" spans="1:13">
      <c r="A418" s="8" t="s">
        <v>482</v>
      </c>
      <c r="B418" s="9">
        <v>45687</v>
      </c>
      <c r="C418" s="8" t="s">
        <v>28</v>
      </c>
      <c r="D418" s="8" t="s">
        <v>29</v>
      </c>
      <c r="E418" s="8" t="s">
        <v>30</v>
      </c>
      <c r="F418" s="8" t="s">
        <v>85</v>
      </c>
      <c r="G418" s="10">
        <v>12</v>
      </c>
      <c r="H418" s="11">
        <v>21.64</v>
      </c>
      <c r="I418" s="11">
        <v>259.68</v>
      </c>
      <c r="J418" s="11">
        <v>109.4</v>
      </c>
      <c r="K418" s="11">
        <v>150.28</v>
      </c>
      <c r="L418" s="8">
        <v>2025</v>
      </c>
      <c r="M418" s="8" t="s">
        <v>36</v>
      </c>
    </row>
    <row r="419" spans="1:13">
      <c r="A419" s="8" t="s">
        <v>483</v>
      </c>
      <c r="B419" s="9">
        <v>46253</v>
      </c>
      <c r="C419" s="8" t="s">
        <v>34</v>
      </c>
      <c r="D419" s="8" t="s">
        <v>29</v>
      </c>
      <c r="E419" s="8" t="s">
        <v>30</v>
      </c>
      <c r="F419" s="8" t="s">
        <v>40</v>
      </c>
      <c r="G419" s="10">
        <v>11</v>
      </c>
      <c r="H419" s="11">
        <v>23.44</v>
      </c>
      <c r="I419" s="11">
        <v>257.83999999999997</v>
      </c>
      <c r="J419" s="11">
        <v>99.86</v>
      </c>
      <c r="K419" s="11">
        <v>157.97999999999999</v>
      </c>
      <c r="L419" s="8">
        <v>2026</v>
      </c>
      <c r="M419" s="8" t="s">
        <v>62</v>
      </c>
    </row>
    <row r="420" spans="1:13">
      <c r="A420" s="8" t="s">
        <v>484</v>
      </c>
      <c r="B420" s="9">
        <v>45659</v>
      </c>
      <c r="C420" s="8" t="s">
        <v>34</v>
      </c>
      <c r="D420" s="8" t="s">
        <v>29</v>
      </c>
      <c r="E420" s="8" t="s">
        <v>116</v>
      </c>
      <c r="F420" s="8" t="s">
        <v>31</v>
      </c>
      <c r="G420" s="10">
        <v>1</v>
      </c>
      <c r="H420" s="11">
        <v>17.010000000000002</v>
      </c>
      <c r="I420" s="11">
        <v>17.010000000000002</v>
      </c>
      <c r="J420" s="11">
        <v>6.55</v>
      </c>
      <c r="K420" s="11">
        <v>10.46</v>
      </c>
      <c r="L420" s="8">
        <v>2025</v>
      </c>
      <c r="M420" s="8" t="s">
        <v>36</v>
      </c>
    </row>
    <row r="421" spans="1:13">
      <c r="A421" s="8" t="s">
        <v>485</v>
      </c>
      <c r="B421" s="9">
        <v>45666</v>
      </c>
      <c r="C421" s="8" t="s">
        <v>28</v>
      </c>
      <c r="D421" s="8" t="s">
        <v>29</v>
      </c>
      <c r="E421" s="8" t="s">
        <v>35</v>
      </c>
      <c r="F421" s="8" t="s">
        <v>66</v>
      </c>
      <c r="G421" s="10">
        <v>5</v>
      </c>
      <c r="H421" s="11">
        <v>40.25</v>
      </c>
      <c r="I421" s="11">
        <v>201.25</v>
      </c>
      <c r="J421" s="11">
        <v>88.48</v>
      </c>
      <c r="K421" s="11">
        <v>112.77</v>
      </c>
      <c r="L421" s="8">
        <v>2025</v>
      </c>
      <c r="M421" s="8" t="s">
        <v>36</v>
      </c>
    </row>
    <row r="422" spans="1:13">
      <c r="A422" s="8" t="s">
        <v>486</v>
      </c>
      <c r="B422" s="9">
        <v>45876</v>
      </c>
      <c r="C422" s="8" t="s">
        <v>56</v>
      </c>
      <c r="D422" s="8" t="s">
        <v>38</v>
      </c>
      <c r="E422" s="8" t="s">
        <v>61</v>
      </c>
      <c r="F422" s="8" t="s">
        <v>74</v>
      </c>
      <c r="G422" s="10">
        <v>5</v>
      </c>
      <c r="H422" s="11">
        <v>965.43</v>
      </c>
      <c r="I422" s="11">
        <v>4827.1499999999996</v>
      </c>
      <c r="J422" s="11">
        <v>3610.15</v>
      </c>
      <c r="K422" s="11">
        <v>1217</v>
      </c>
      <c r="L422" s="8">
        <v>2025</v>
      </c>
      <c r="M422" s="8" t="s">
        <v>62</v>
      </c>
    </row>
    <row r="423" spans="1:13">
      <c r="A423" s="8" t="s">
        <v>487</v>
      </c>
      <c r="B423" s="9">
        <v>45678</v>
      </c>
      <c r="C423" s="8" t="s">
        <v>56</v>
      </c>
      <c r="D423" s="8" t="s">
        <v>43</v>
      </c>
      <c r="E423" s="8" t="s">
        <v>44</v>
      </c>
      <c r="F423" s="8" t="s">
        <v>40</v>
      </c>
      <c r="G423" s="10">
        <v>4</v>
      </c>
      <c r="H423" s="11">
        <v>361.25</v>
      </c>
      <c r="I423" s="11">
        <v>1445</v>
      </c>
      <c r="J423" s="11">
        <v>916.83</v>
      </c>
      <c r="K423" s="11">
        <v>528.16999999999996</v>
      </c>
      <c r="L423" s="8">
        <v>2025</v>
      </c>
      <c r="M423" s="8" t="s">
        <v>36</v>
      </c>
    </row>
    <row r="424" spans="1:13">
      <c r="A424" s="8" t="s">
        <v>488</v>
      </c>
      <c r="B424" s="9">
        <v>45983</v>
      </c>
      <c r="C424" s="8" t="s">
        <v>34</v>
      </c>
      <c r="D424" s="8" t="s">
        <v>38</v>
      </c>
      <c r="E424" s="8" t="s">
        <v>48</v>
      </c>
      <c r="F424" s="8" t="s">
        <v>31</v>
      </c>
      <c r="G424" s="10">
        <v>4</v>
      </c>
      <c r="H424" s="11">
        <v>232.68</v>
      </c>
      <c r="I424" s="11">
        <v>930.72</v>
      </c>
      <c r="J424" s="11">
        <v>577.1</v>
      </c>
      <c r="K424" s="11">
        <v>353.62</v>
      </c>
      <c r="L424" s="8">
        <v>2025</v>
      </c>
      <c r="M424" s="8" t="s">
        <v>41</v>
      </c>
    </row>
    <row r="425" spans="1:13">
      <c r="A425" s="8" t="s">
        <v>489</v>
      </c>
      <c r="B425" s="9">
        <v>45697</v>
      </c>
      <c r="C425" s="8" t="s">
        <v>34</v>
      </c>
      <c r="D425" s="8" t="s">
        <v>43</v>
      </c>
      <c r="E425" s="8" t="s">
        <v>57</v>
      </c>
      <c r="F425" s="8" t="s">
        <v>40</v>
      </c>
      <c r="G425" s="10">
        <v>1</v>
      </c>
      <c r="H425" s="11">
        <v>547.92999999999995</v>
      </c>
      <c r="I425" s="11">
        <v>547.92999999999995</v>
      </c>
      <c r="J425" s="11">
        <v>346.55</v>
      </c>
      <c r="K425" s="11">
        <v>201.38</v>
      </c>
      <c r="L425" s="8">
        <v>2025</v>
      </c>
      <c r="M425" s="8" t="s">
        <v>83</v>
      </c>
    </row>
    <row r="426" spans="1:13">
      <c r="A426" s="8" t="s">
        <v>490</v>
      </c>
      <c r="B426" s="9">
        <v>45922</v>
      </c>
      <c r="C426" s="8" t="s">
        <v>56</v>
      </c>
      <c r="D426" s="8" t="s">
        <v>43</v>
      </c>
      <c r="E426" s="8" t="s">
        <v>57</v>
      </c>
      <c r="F426" s="8" t="s">
        <v>45</v>
      </c>
      <c r="G426" s="10">
        <v>5</v>
      </c>
      <c r="H426" s="11">
        <v>460.75</v>
      </c>
      <c r="I426" s="11">
        <v>2303.75</v>
      </c>
      <c r="J426" s="11">
        <v>1530.75</v>
      </c>
      <c r="K426" s="11">
        <v>773</v>
      </c>
      <c r="L426" s="8">
        <v>2025</v>
      </c>
      <c r="M426" s="8" t="s">
        <v>98</v>
      </c>
    </row>
    <row r="427" spans="1:13">
      <c r="A427" s="8" t="s">
        <v>491</v>
      </c>
      <c r="B427" s="9">
        <v>46077</v>
      </c>
      <c r="C427" s="8" t="s">
        <v>34</v>
      </c>
      <c r="D427" s="8" t="s">
        <v>43</v>
      </c>
      <c r="E427" s="8" t="s">
        <v>94</v>
      </c>
      <c r="F427" s="8" t="s">
        <v>74</v>
      </c>
      <c r="G427" s="10">
        <v>1</v>
      </c>
      <c r="H427" s="11">
        <v>293.52</v>
      </c>
      <c r="I427" s="11">
        <v>293.52</v>
      </c>
      <c r="J427" s="11">
        <v>169.66</v>
      </c>
      <c r="K427" s="11">
        <v>123.86</v>
      </c>
      <c r="L427" s="8">
        <v>2026</v>
      </c>
      <c r="M427" s="8" t="s">
        <v>83</v>
      </c>
    </row>
    <row r="428" spans="1:13">
      <c r="A428" s="8" t="s">
        <v>492</v>
      </c>
      <c r="B428" s="9">
        <v>45928</v>
      </c>
      <c r="C428" s="8" t="s">
        <v>28</v>
      </c>
      <c r="D428" s="8" t="s">
        <v>43</v>
      </c>
      <c r="E428" s="8" t="s">
        <v>57</v>
      </c>
      <c r="F428" s="8" t="s">
        <v>49</v>
      </c>
      <c r="G428" s="10">
        <v>3</v>
      </c>
      <c r="H428" s="11">
        <v>528.29</v>
      </c>
      <c r="I428" s="11">
        <v>1584.87</v>
      </c>
      <c r="J428" s="11">
        <v>1063.8699999999999</v>
      </c>
      <c r="K428" s="11">
        <v>521</v>
      </c>
      <c r="L428" s="8">
        <v>2025</v>
      </c>
      <c r="M428" s="8" t="s">
        <v>98</v>
      </c>
    </row>
    <row r="429" spans="1:13">
      <c r="A429" s="8" t="s">
        <v>493</v>
      </c>
      <c r="B429" s="9">
        <v>46140</v>
      </c>
      <c r="C429" s="8" t="s">
        <v>28</v>
      </c>
      <c r="D429" s="8" t="s">
        <v>29</v>
      </c>
      <c r="E429" s="8" t="s">
        <v>116</v>
      </c>
      <c r="F429" s="8" t="s">
        <v>74</v>
      </c>
      <c r="G429" s="10">
        <v>4</v>
      </c>
      <c r="H429" s="11">
        <v>20.3</v>
      </c>
      <c r="I429" s="11">
        <v>81.2</v>
      </c>
      <c r="J429" s="11">
        <v>34.119999999999997</v>
      </c>
      <c r="K429" s="11">
        <v>47.08</v>
      </c>
      <c r="L429" s="8">
        <v>2026</v>
      </c>
      <c r="M429" s="8" t="s">
        <v>46</v>
      </c>
    </row>
    <row r="430" spans="1:13">
      <c r="A430" s="8" t="s">
        <v>494</v>
      </c>
      <c r="B430" s="9">
        <v>45802</v>
      </c>
      <c r="C430" s="8" t="s">
        <v>56</v>
      </c>
      <c r="D430" s="8" t="s">
        <v>43</v>
      </c>
      <c r="E430" s="8" t="s">
        <v>44</v>
      </c>
      <c r="F430" s="8" t="s">
        <v>49</v>
      </c>
      <c r="G430" s="10">
        <v>3</v>
      </c>
      <c r="H430" s="11">
        <v>432.67</v>
      </c>
      <c r="I430" s="11">
        <v>1298.01</v>
      </c>
      <c r="J430" s="11">
        <v>760.3</v>
      </c>
      <c r="K430" s="11">
        <v>537.71</v>
      </c>
      <c r="L430" s="8">
        <v>2025</v>
      </c>
      <c r="M430" s="8" t="s">
        <v>50</v>
      </c>
    </row>
    <row r="431" spans="1:13">
      <c r="A431" s="8" t="s">
        <v>495</v>
      </c>
      <c r="B431" s="9">
        <v>46120</v>
      </c>
      <c r="C431" s="8" t="s">
        <v>52</v>
      </c>
      <c r="D431" s="8" t="s">
        <v>29</v>
      </c>
      <c r="E431" s="8" t="s">
        <v>116</v>
      </c>
      <c r="F431" s="8" t="s">
        <v>45</v>
      </c>
      <c r="G431" s="10">
        <v>11</v>
      </c>
      <c r="H431" s="11">
        <v>18.36</v>
      </c>
      <c r="I431" s="11">
        <v>201.96</v>
      </c>
      <c r="J431" s="11">
        <v>71.27</v>
      </c>
      <c r="K431" s="11">
        <v>130.69</v>
      </c>
      <c r="L431" s="8">
        <v>2026</v>
      </c>
      <c r="M431" s="8" t="s">
        <v>46</v>
      </c>
    </row>
    <row r="432" spans="1:13">
      <c r="A432" s="8" t="s">
        <v>496</v>
      </c>
      <c r="B432" s="9">
        <v>46174</v>
      </c>
      <c r="C432" s="8" t="s">
        <v>28</v>
      </c>
      <c r="D432" s="8" t="s">
        <v>43</v>
      </c>
      <c r="E432" s="8" t="s">
        <v>94</v>
      </c>
      <c r="F432" s="8" t="s">
        <v>45</v>
      </c>
      <c r="G432" s="10">
        <v>4</v>
      </c>
      <c r="H432" s="11">
        <v>255.93</v>
      </c>
      <c r="I432" s="11">
        <v>1023.72</v>
      </c>
      <c r="J432" s="11">
        <v>626.33000000000004</v>
      </c>
      <c r="K432" s="11">
        <v>397.39</v>
      </c>
      <c r="L432" s="8">
        <v>2026</v>
      </c>
      <c r="M432" s="8" t="s">
        <v>54</v>
      </c>
    </row>
    <row r="433" spans="1:13">
      <c r="A433" s="8" t="s">
        <v>497</v>
      </c>
      <c r="B433" s="9">
        <v>46149</v>
      </c>
      <c r="C433" s="8" t="s">
        <v>52</v>
      </c>
      <c r="D433" s="8" t="s">
        <v>29</v>
      </c>
      <c r="E433" s="8" t="s">
        <v>35</v>
      </c>
      <c r="F433" s="8" t="s">
        <v>74</v>
      </c>
      <c r="G433" s="10">
        <v>9</v>
      </c>
      <c r="H433" s="11">
        <v>49.35</v>
      </c>
      <c r="I433" s="11">
        <v>444.15</v>
      </c>
      <c r="J433" s="11">
        <v>198.59</v>
      </c>
      <c r="K433" s="11">
        <v>245.56</v>
      </c>
      <c r="L433" s="8">
        <v>2026</v>
      </c>
      <c r="M433" s="8" t="s">
        <v>50</v>
      </c>
    </row>
    <row r="434" spans="1:13">
      <c r="A434" s="8" t="s">
        <v>498</v>
      </c>
      <c r="B434" s="9">
        <v>45922</v>
      </c>
      <c r="C434" s="8" t="s">
        <v>52</v>
      </c>
      <c r="D434" s="8" t="s">
        <v>43</v>
      </c>
      <c r="E434" s="8" t="s">
        <v>44</v>
      </c>
      <c r="F434" s="8" t="s">
        <v>66</v>
      </c>
      <c r="G434" s="10">
        <v>4</v>
      </c>
      <c r="H434" s="11">
        <v>451.71</v>
      </c>
      <c r="I434" s="11">
        <v>1806.84</v>
      </c>
      <c r="J434" s="11">
        <v>1120.79</v>
      </c>
      <c r="K434" s="11">
        <v>686.05</v>
      </c>
      <c r="L434" s="8">
        <v>2025</v>
      </c>
      <c r="M434" s="8" t="s">
        <v>98</v>
      </c>
    </row>
    <row r="435" spans="1:13">
      <c r="A435" s="8" t="s">
        <v>499</v>
      </c>
      <c r="B435" s="9">
        <v>45663</v>
      </c>
      <c r="C435" s="8" t="s">
        <v>34</v>
      </c>
      <c r="D435" s="8" t="s">
        <v>29</v>
      </c>
      <c r="E435" s="8" t="s">
        <v>116</v>
      </c>
      <c r="F435" s="8" t="s">
        <v>74</v>
      </c>
      <c r="G435" s="10">
        <v>9</v>
      </c>
      <c r="H435" s="11">
        <v>15.83</v>
      </c>
      <c r="I435" s="11">
        <v>142.47</v>
      </c>
      <c r="J435" s="11">
        <v>59.41</v>
      </c>
      <c r="K435" s="11">
        <v>83.06</v>
      </c>
      <c r="L435" s="8">
        <v>2025</v>
      </c>
      <c r="M435" s="8" t="s">
        <v>36</v>
      </c>
    </row>
    <row r="436" spans="1:13">
      <c r="A436" s="8" t="s">
        <v>500</v>
      </c>
      <c r="B436" s="9">
        <v>45917</v>
      </c>
      <c r="C436" s="8" t="s">
        <v>28</v>
      </c>
      <c r="D436" s="8" t="s">
        <v>29</v>
      </c>
      <c r="E436" s="8" t="s">
        <v>30</v>
      </c>
      <c r="F436" s="8" t="s">
        <v>49</v>
      </c>
      <c r="G436" s="10">
        <v>9</v>
      </c>
      <c r="H436" s="11">
        <v>22.56</v>
      </c>
      <c r="I436" s="11">
        <v>203.04</v>
      </c>
      <c r="J436" s="11">
        <v>80.89</v>
      </c>
      <c r="K436" s="11">
        <v>122.15</v>
      </c>
      <c r="L436" s="8">
        <v>2025</v>
      </c>
      <c r="M436" s="8" t="s">
        <v>98</v>
      </c>
    </row>
    <row r="437" spans="1:13">
      <c r="A437" s="8" t="s">
        <v>501</v>
      </c>
      <c r="B437" s="9">
        <v>46170</v>
      </c>
      <c r="C437" s="8" t="s">
        <v>56</v>
      </c>
      <c r="D437" s="8" t="s">
        <v>29</v>
      </c>
      <c r="E437" s="8" t="s">
        <v>35</v>
      </c>
      <c r="F437" s="8" t="s">
        <v>40</v>
      </c>
      <c r="G437" s="10">
        <v>11</v>
      </c>
      <c r="H437" s="11">
        <v>39.94</v>
      </c>
      <c r="I437" s="11">
        <v>439.34</v>
      </c>
      <c r="J437" s="11">
        <v>207.88</v>
      </c>
      <c r="K437" s="11">
        <v>231.46</v>
      </c>
      <c r="L437" s="8">
        <v>2026</v>
      </c>
      <c r="M437" s="8" t="s">
        <v>50</v>
      </c>
    </row>
    <row r="438" spans="1:13">
      <c r="A438" s="8" t="s">
        <v>502</v>
      </c>
      <c r="B438" s="9">
        <v>45932</v>
      </c>
      <c r="C438" s="8" t="s">
        <v>56</v>
      </c>
      <c r="D438" s="8" t="s">
        <v>29</v>
      </c>
      <c r="E438" s="8" t="s">
        <v>30</v>
      </c>
      <c r="F438" s="8" t="s">
        <v>49</v>
      </c>
      <c r="G438" s="10">
        <v>7</v>
      </c>
      <c r="H438" s="11">
        <v>25.9</v>
      </c>
      <c r="I438" s="11">
        <v>181.3</v>
      </c>
      <c r="J438" s="11">
        <v>81.84</v>
      </c>
      <c r="K438" s="11">
        <v>99.46</v>
      </c>
      <c r="L438" s="8">
        <v>2025</v>
      </c>
      <c r="M438" s="8" t="s">
        <v>58</v>
      </c>
    </row>
    <row r="439" spans="1:13">
      <c r="A439" s="8" t="s">
        <v>503</v>
      </c>
      <c r="B439" s="9">
        <v>46125</v>
      </c>
      <c r="C439" s="8" t="s">
        <v>28</v>
      </c>
      <c r="D439" s="8" t="s">
        <v>43</v>
      </c>
      <c r="E439" s="8" t="s">
        <v>44</v>
      </c>
      <c r="F439" s="8" t="s">
        <v>40</v>
      </c>
      <c r="G439" s="10">
        <v>2</v>
      </c>
      <c r="H439" s="11">
        <v>455.17</v>
      </c>
      <c r="I439" s="11">
        <v>910.34</v>
      </c>
      <c r="J439" s="11">
        <v>564.5</v>
      </c>
      <c r="K439" s="11">
        <v>345.84</v>
      </c>
      <c r="L439" s="8">
        <v>2026</v>
      </c>
      <c r="M439" s="8" t="s">
        <v>46</v>
      </c>
    </row>
    <row r="440" spans="1:13">
      <c r="A440" s="8" t="s">
        <v>504</v>
      </c>
      <c r="B440" s="9">
        <v>45967</v>
      </c>
      <c r="C440" s="8" t="s">
        <v>52</v>
      </c>
      <c r="D440" s="8" t="s">
        <v>38</v>
      </c>
      <c r="E440" s="8" t="s">
        <v>61</v>
      </c>
      <c r="F440" s="8" t="s">
        <v>40</v>
      </c>
      <c r="G440" s="10">
        <v>2</v>
      </c>
      <c r="H440" s="11">
        <v>919.32</v>
      </c>
      <c r="I440" s="11">
        <v>1838.64</v>
      </c>
      <c r="J440" s="11">
        <v>1386.2</v>
      </c>
      <c r="K440" s="11">
        <v>452.44</v>
      </c>
      <c r="L440" s="8">
        <v>2025</v>
      </c>
      <c r="M440" s="8" t="s">
        <v>41</v>
      </c>
    </row>
    <row r="441" spans="1:13">
      <c r="A441" s="8" t="s">
        <v>505</v>
      </c>
      <c r="B441" s="9">
        <v>45719</v>
      </c>
      <c r="C441" s="8" t="s">
        <v>52</v>
      </c>
      <c r="D441" s="8" t="s">
        <v>38</v>
      </c>
      <c r="E441" s="8" t="s">
        <v>39</v>
      </c>
      <c r="F441" s="8" t="s">
        <v>40</v>
      </c>
      <c r="G441" s="10">
        <v>4</v>
      </c>
      <c r="H441" s="11">
        <v>53.17</v>
      </c>
      <c r="I441" s="11">
        <v>212.68</v>
      </c>
      <c r="J441" s="11">
        <v>89.47</v>
      </c>
      <c r="K441" s="11">
        <v>123.21</v>
      </c>
      <c r="L441" s="8">
        <v>2025</v>
      </c>
      <c r="M441" s="8" t="s">
        <v>77</v>
      </c>
    </row>
    <row r="442" spans="1:13">
      <c r="A442" s="8" t="s">
        <v>506</v>
      </c>
      <c r="B442" s="9">
        <v>45910</v>
      </c>
      <c r="C442" s="8" t="s">
        <v>52</v>
      </c>
      <c r="D442" s="8" t="s">
        <v>29</v>
      </c>
      <c r="E442" s="8" t="s">
        <v>35</v>
      </c>
      <c r="F442" s="8" t="s">
        <v>40</v>
      </c>
      <c r="G442" s="10">
        <v>5</v>
      </c>
      <c r="H442" s="11">
        <v>40.479999999999997</v>
      </c>
      <c r="I442" s="11">
        <v>202.4</v>
      </c>
      <c r="J442" s="11">
        <v>87.26</v>
      </c>
      <c r="K442" s="11">
        <v>115.14</v>
      </c>
      <c r="L442" s="8">
        <v>2025</v>
      </c>
      <c r="M442" s="8" t="s">
        <v>98</v>
      </c>
    </row>
    <row r="443" spans="1:13">
      <c r="A443" s="8" t="s">
        <v>507</v>
      </c>
      <c r="B443" s="9">
        <v>45814</v>
      </c>
      <c r="C443" s="8" t="s">
        <v>28</v>
      </c>
      <c r="D443" s="8" t="s">
        <v>29</v>
      </c>
      <c r="E443" s="8" t="s">
        <v>116</v>
      </c>
      <c r="F443" s="8" t="s">
        <v>40</v>
      </c>
      <c r="G443" s="10">
        <v>12</v>
      </c>
      <c r="H443" s="11">
        <v>15.93</v>
      </c>
      <c r="I443" s="11">
        <v>191.16</v>
      </c>
      <c r="J443" s="11">
        <v>68.13</v>
      </c>
      <c r="K443" s="11">
        <v>123.03</v>
      </c>
      <c r="L443" s="8">
        <v>2025</v>
      </c>
      <c r="M443" s="8" t="s">
        <v>54</v>
      </c>
    </row>
    <row r="444" spans="1:13">
      <c r="A444" s="8" t="s">
        <v>508</v>
      </c>
      <c r="B444" s="9">
        <v>46111</v>
      </c>
      <c r="C444" s="8" t="s">
        <v>34</v>
      </c>
      <c r="D444" s="8" t="s">
        <v>29</v>
      </c>
      <c r="E444" s="8" t="s">
        <v>30</v>
      </c>
      <c r="F444" s="8" t="s">
        <v>45</v>
      </c>
      <c r="G444" s="10">
        <v>1</v>
      </c>
      <c r="H444" s="11">
        <v>23.22</v>
      </c>
      <c r="I444" s="11">
        <v>23.22</v>
      </c>
      <c r="J444" s="11">
        <v>10.34</v>
      </c>
      <c r="K444" s="11">
        <v>12.88</v>
      </c>
      <c r="L444" s="8">
        <v>2026</v>
      </c>
      <c r="M444" s="8" t="s">
        <v>77</v>
      </c>
    </row>
    <row r="445" spans="1:13">
      <c r="A445" s="8" t="s">
        <v>509</v>
      </c>
      <c r="B445" s="9">
        <v>46226</v>
      </c>
      <c r="C445" s="8" t="s">
        <v>52</v>
      </c>
      <c r="D445" s="8" t="s">
        <v>43</v>
      </c>
      <c r="E445" s="8" t="s">
        <v>65</v>
      </c>
      <c r="F445" s="8" t="s">
        <v>74</v>
      </c>
      <c r="G445" s="10">
        <v>4</v>
      </c>
      <c r="H445" s="11">
        <v>170.99</v>
      </c>
      <c r="I445" s="11">
        <v>683.96</v>
      </c>
      <c r="J445" s="11">
        <v>371.88</v>
      </c>
      <c r="K445" s="11">
        <v>312.08</v>
      </c>
      <c r="L445" s="8">
        <v>2026</v>
      </c>
      <c r="M445" s="8" t="s">
        <v>69</v>
      </c>
    </row>
    <row r="446" spans="1:13">
      <c r="A446" s="8" t="s">
        <v>510</v>
      </c>
      <c r="B446" s="9">
        <v>45763</v>
      </c>
      <c r="C446" s="8" t="s">
        <v>34</v>
      </c>
      <c r="D446" s="8" t="s">
        <v>43</v>
      </c>
      <c r="E446" s="8" t="s">
        <v>94</v>
      </c>
      <c r="F446" s="8" t="s">
        <v>85</v>
      </c>
      <c r="G446" s="10">
        <v>4</v>
      </c>
      <c r="H446" s="11">
        <v>251.54</v>
      </c>
      <c r="I446" s="11">
        <v>1006.16</v>
      </c>
      <c r="J446" s="11">
        <v>569.88</v>
      </c>
      <c r="K446" s="11">
        <v>436.28</v>
      </c>
      <c r="L446" s="8">
        <v>2025</v>
      </c>
      <c r="M446" s="8" t="s">
        <v>46</v>
      </c>
    </row>
    <row r="447" spans="1:13">
      <c r="A447" s="8" t="s">
        <v>511</v>
      </c>
      <c r="B447" s="9">
        <v>46232</v>
      </c>
      <c r="C447" s="8" t="s">
        <v>34</v>
      </c>
      <c r="D447" s="8" t="s">
        <v>38</v>
      </c>
      <c r="E447" s="8" t="s">
        <v>48</v>
      </c>
      <c r="F447" s="8" t="s">
        <v>66</v>
      </c>
      <c r="G447" s="10">
        <v>5</v>
      </c>
      <c r="H447" s="11">
        <v>220.22</v>
      </c>
      <c r="I447" s="11">
        <v>1101.0999999999999</v>
      </c>
      <c r="J447" s="11">
        <v>720.43</v>
      </c>
      <c r="K447" s="11">
        <v>380.67</v>
      </c>
      <c r="L447" s="8">
        <v>2026</v>
      </c>
      <c r="M447" s="8" t="s">
        <v>69</v>
      </c>
    </row>
    <row r="448" spans="1:13">
      <c r="A448" s="8" t="s">
        <v>512</v>
      </c>
      <c r="B448" s="9">
        <v>46040</v>
      </c>
      <c r="C448" s="8" t="s">
        <v>56</v>
      </c>
      <c r="D448" s="8" t="s">
        <v>29</v>
      </c>
      <c r="E448" s="8" t="s">
        <v>116</v>
      </c>
      <c r="F448" s="8" t="s">
        <v>74</v>
      </c>
      <c r="G448" s="10">
        <v>5</v>
      </c>
      <c r="H448" s="11">
        <v>19.98</v>
      </c>
      <c r="I448" s="11">
        <v>99.9</v>
      </c>
      <c r="J448" s="11">
        <v>39.49</v>
      </c>
      <c r="K448" s="11">
        <v>60.41</v>
      </c>
      <c r="L448" s="8">
        <v>2026</v>
      </c>
      <c r="M448" s="8" t="s">
        <v>36</v>
      </c>
    </row>
    <row r="449" spans="1:13">
      <c r="A449" s="8" t="s">
        <v>513</v>
      </c>
      <c r="B449" s="9">
        <v>46192</v>
      </c>
      <c r="C449" s="8" t="s">
        <v>34</v>
      </c>
      <c r="D449" s="8" t="s">
        <v>29</v>
      </c>
      <c r="E449" s="8" t="s">
        <v>116</v>
      </c>
      <c r="F449" s="8" t="s">
        <v>66</v>
      </c>
      <c r="G449" s="10">
        <v>3</v>
      </c>
      <c r="H449" s="11">
        <v>18.41</v>
      </c>
      <c r="I449" s="11">
        <v>55.23</v>
      </c>
      <c r="J449" s="11">
        <v>22.87</v>
      </c>
      <c r="K449" s="11">
        <v>32.36</v>
      </c>
      <c r="L449" s="8">
        <v>2026</v>
      </c>
      <c r="M449" s="8" t="s">
        <v>54</v>
      </c>
    </row>
    <row r="450" spans="1:13">
      <c r="A450" s="8" t="s">
        <v>514</v>
      </c>
      <c r="B450" s="9">
        <v>46138</v>
      </c>
      <c r="C450" s="8" t="s">
        <v>56</v>
      </c>
      <c r="D450" s="8" t="s">
        <v>29</v>
      </c>
      <c r="E450" s="8" t="s">
        <v>116</v>
      </c>
      <c r="F450" s="8" t="s">
        <v>53</v>
      </c>
      <c r="G450" s="10">
        <v>9</v>
      </c>
      <c r="H450" s="11">
        <v>19.59</v>
      </c>
      <c r="I450" s="11">
        <v>176.31</v>
      </c>
      <c r="J450" s="11">
        <v>68.02</v>
      </c>
      <c r="K450" s="11">
        <v>108.29</v>
      </c>
      <c r="L450" s="8">
        <v>2026</v>
      </c>
      <c r="M450" s="8" t="s">
        <v>46</v>
      </c>
    </row>
    <row r="451" spans="1:13">
      <c r="A451" s="8" t="s">
        <v>515</v>
      </c>
      <c r="B451" s="9">
        <v>46022</v>
      </c>
      <c r="C451" s="8" t="s">
        <v>52</v>
      </c>
      <c r="D451" s="8" t="s">
        <v>43</v>
      </c>
      <c r="E451" s="8" t="s">
        <v>65</v>
      </c>
      <c r="F451" s="8" t="s">
        <v>74</v>
      </c>
      <c r="G451" s="10">
        <v>2</v>
      </c>
      <c r="H451" s="11">
        <v>200.6</v>
      </c>
      <c r="I451" s="11">
        <v>401.2</v>
      </c>
      <c r="J451" s="11">
        <v>223.49</v>
      </c>
      <c r="K451" s="11">
        <v>177.71</v>
      </c>
      <c r="L451" s="8">
        <v>2025</v>
      </c>
      <c r="M451" s="8" t="s">
        <v>32</v>
      </c>
    </row>
    <row r="452" spans="1:13">
      <c r="A452" s="8" t="s">
        <v>516</v>
      </c>
      <c r="B452" s="9">
        <v>45937</v>
      </c>
      <c r="C452" s="8" t="s">
        <v>34</v>
      </c>
      <c r="D452" s="8" t="s">
        <v>29</v>
      </c>
      <c r="E452" s="8" t="s">
        <v>76</v>
      </c>
      <c r="F452" s="8" t="s">
        <v>45</v>
      </c>
      <c r="G452" s="10">
        <v>8</v>
      </c>
      <c r="H452" s="11">
        <v>11.92</v>
      </c>
      <c r="I452" s="11">
        <v>95.36</v>
      </c>
      <c r="J452" s="11">
        <v>33.94</v>
      </c>
      <c r="K452" s="11">
        <v>61.42</v>
      </c>
      <c r="L452" s="8">
        <v>2025</v>
      </c>
      <c r="M452" s="8" t="s">
        <v>58</v>
      </c>
    </row>
    <row r="453" spans="1:13">
      <c r="A453" s="8" t="s">
        <v>517</v>
      </c>
      <c r="B453" s="9">
        <v>45788</v>
      </c>
      <c r="C453" s="8" t="s">
        <v>52</v>
      </c>
      <c r="D453" s="8" t="s">
        <v>38</v>
      </c>
      <c r="E453" s="8" t="s">
        <v>61</v>
      </c>
      <c r="F453" s="8" t="s">
        <v>45</v>
      </c>
      <c r="G453" s="10">
        <v>5</v>
      </c>
      <c r="H453" s="11">
        <v>1054.27</v>
      </c>
      <c r="I453" s="11">
        <v>5271.35</v>
      </c>
      <c r="J453" s="11">
        <v>4101.74</v>
      </c>
      <c r="K453" s="11">
        <v>1169.6099999999999</v>
      </c>
      <c r="L453" s="8">
        <v>2025</v>
      </c>
      <c r="M453" s="8" t="s">
        <v>50</v>
      </c>
    </row>
    <row r="454" spans="1:13">
      <c r="A454" s="8" t="s">
        <v>518</v>
      </c>
      <c r="B454" s="9">
        <v>45791</v>
      </c>
      <c r="C454" s="8" t="s">
        <v>28</v>
      </c>
      <c r="D454" s="8" t="s">
        <v>38</v>
      </c>
      <c r="E454" s="8" t="s">
        <v>48</v>
      </c>
      <c r="F454" s="8" t="s">
        <v>53</v>
      </c>
      <c r="G454" s="10">
        <v>1</v>
      </c>
      <c r="H454" s="11">
        <v>219.33</v>
      </c>
      <c r="I454" s="11">
        <v>219.33</v>
      </c>
      <c r="J454" s="11">
        <v>146</v>
      </c>
      <c r="K454" s="11">
        <v>73.33</v>
      </c>
      <c r="L454" s="8">
        <v>2025</v>
      </c>
      <c r="M454" s="8" t="s">
        <v>50</v>
      </c>
    </row>
    <row r="455" spans="1:13">
      <c r="A455" s="8" t="s">
        <v>519</v>
      </c>
      <c r="B455" s="9">
        <v>46164</v>
      </c>
      <c r="C455" s="8" t="s">
        <v>56</v>
      </c>
      <c r="D455" s="8" t="s">
        <v>29</v>
      </c>
      <c r="E455" s="8" t="s">
        <v>116</v>
      </c>
      <c r="F455" s="8" t="s">
        <v>45</v>
      </c>
      <c r="G455" s="10">
        <v>6</v>
      </c>
      <c r="H455" s="11">
        <v>20.32</v>
      </c>
      <c r="I455" s="11">
        <v>121.92</v>
      </c>
      <c r="J455" s="11">
        <v>51.03</v>
      </c>
      <c r="K455" s="11">
        <v>70.89</v>
      </c>
      <c r="L455" s="8">
        <v>2026</v>
      </c>
      <c r="M455" s="8" t="s">
        <v>50</v>
      </c>
    </row>
    <row r="456" spans="1:13">
      <c r="A456" s="8" t="s">
        <v>520</v>
      </c>
      <c r="B456" s="9">
        <v>45964</v>
      </c>
      <c r="C456" s="8" t="s">
        <v>28</v>
      </c>
      <c r="D456" s="8" t="s">
        <v>38</v>
      </c>
      <c r="E456" s="8" t="s">
        <v>61</v>
      </c>
      <c r="F456" s="8" t="s">
        <v>45</v>
      </c>
      <c r="G456" s="10">
        <v>3</v>
      </c>
      <c r="H456" s="11">
        <v>839.58</v>
      </c>
      <c r="I456" s="11">
        <v>2518.7399999999998</v>
      </c>
      <c r="J456" s="11">
        <v>1875.63</v>
      </c>
      <c r="K456" s="11">
        <v>643.11</v>
      </c>
      <c r="L456" s="8">
        <v>2025</v>
      </c>
      <c r="M456" s="8" t="s">
        <v>41</v>
      </c>
    </row>
    <row r="457" spans="1:13">
      <c r="A457" s="8" t="s">
        <v>521</v>
      </c>
      <c r="B457" s="9">
        <v>46028</v>
      </c>
      <c r="C457" s="8" t="s">
        <v>34</v>
      </c>
      <c r="D457" s="8" t="s">
        <v>43</v>
      </c>
      <c r="E457" s="8" t="s">
        <v>57</v>
      </c>
      <c r="F457" s="8" t="s">
        <v>45</v>
      </c>
      <c r="G457" s="10">
        <v>4</v>
      </c>
      <c r="H457" s="11">
        <v>460.64</v>
      </c>
      <c r="I457" s="11">
        <v>1842.56</v>
      </c>
      <c r="J457" s="11">
        <v>1173.01</v>
      </c>
      <c r="K457" s="11">
        <v>669.55</v>
      </c>
      <c r="L457" s="8">
        <v>2026</v>
      </c>
      <c r="M457" s="8" t="s">
        <v>36</v>
      </c>
    </row>
    <row r="458" spans="1:13">
      <c r="A458" s="8" t="s">
        <v>522</v>
      </c>
      <c r="B458" s="9">
        <v>45686</v>
      </c>
      <c r="C458" s="8" t="s">
        <v>56</v>
      </c>
      <c r="D458" s="8" t="s">
        <v>38</v>
      </c>
      <c r="E458" s="8" t="s">
        <v>39</v>
      </c>
      <c r="F458" s="8" t="s">
        <v>85</v>
      </c>
      <c r="G458" s="10">
        <v>3</v>
      </c>
      <c r="H458" s="11">
        <v>59.39</v>
      </c>
      <c r="I458" s="11">
        <v>178.17</v>
      </c>
      <c r="J458" s="11">
        <v>81.010000000000005</v>
      </c>
      <c r="K458" s="11">
        <v>97.16</v>
      </c>
      <c r="L458" s="8">
        <v>2025</v>
      </c>
      <c r="M458" s="8" t="s">
        <v>36</v>
      </c>
    </row>
    <row r="459" spans="1:13">
      <c r="A459" s="8" t="s">
        <v>523</v>
      </c>
      <c r="B459" s="9">
        <v>45843</v>
      </c>
      <c r="C459" s="8" t="s">
        <v>34</v>
      </c>
      <c r="D459" s="8" t="s">
        <v>38</v>
      </c>
      <c r="E459" s="8" t="s">
        <v>134</v>
      </c>
      <c r="F459" s="8" t="s">
        <v>49</v>
      </c>
      <c r="G459" s="10">
        <v>2</v>
      </c>
      <c r="H459" s="11">
        <v>339.7</v>
      </c>
      <c r="I459" s="11">
        <v>679.4</v>
      </c>
      <c r="J459" s="11">
        <v>467.01</v>
      </c>
      <c r="K459" s="11">
        <v>212.39</v>
      </c>
      <c r="L459" s="8">
        <v>2025</v>
      </c>
      <c r="M459" s="8" t="s">
        <v>69</v>
      </c>
    </row>
    <row r="460" spans="1:13">
      <c r="A460" s="8" t="s">
        <v>524</v>
      </c>
      <c r="B460" s="9">
        <v>45923</v>
      </c>
      <c r="C460" s="8" t="s">
        <v>28</v>
      </c>
      <c r="D460" s="8" t="s">
        <v>29</v>
      </c>
      <c r="E460" s="8" t="s">
        <v>76</v>
      </c>
      <c r="F460" s="8" t="s">
        <v>85</v>
      </c>
      <c r="G460" s="10">
        <v>8</v>
      </c>
      <c r="H460" s="11">
        <v>12.53</v>
      </c>
      <c r="I460" s="11">
        <v>100.24</v>
      </c>
      <c r="J460" s="11">
        <v>34.049999999999997</v>
      </c>
      <c r="K460" s="11">
        <v>66.19</v>
      </c>
      <c r="L460" s="8">
        <v>2025</v>
      </c>
      <c r="M460" s="8" t="s">
        <v>98</v>
      </c>
    </row>
    <row r="461" spans="1:13">
      <c r="A461" s="8" t="s">
        <v>525</v>
      </c>
      <c r="B461" s="9">
        <v>45977</v>
      </c>
      <c r="C461" s="8" t="s">
        <v>56</v>
      </c>
      <c r="D461" s="8" t="s">
        <v>38</v>
      </c>
      <c r="E461" s="8" t="s">
        <v>39</v>
      </c>
      <c r="F461" s="8" t="s">
        <v>66</v>
      </c>
      <c r="G461" s="10">
        <v>5</v>
      </c>
      <c r="H461" s="11">
        <v>62.33</v>
      </c>
      <c r="I461" s="11">
        <v>311.64999999999998</v>
      </c>
      <c r="J461" s="11">
        <v>135.26</v>
      </c>
      <c r="K461" s="11">
        <v>176.39</v>
      </c>
      <c r="L461" s="8">
        <v>2025</v>
      </c>
      <c r="M461" s="8" t="s">
        <v>41</v>
      </c>
    </row>
    <row r="462" spans="1:13">
      <c r="A462" s="8" t="s">
        <v>526</v>
      </c>
      <c r="B462" s="9">
        <v>45959</v>
      </c>
      <c r="C462" s="8" t="s">
        <v>28</v>
      </c>
      <c r="D462" s="8" t="s">
        <v>29</v>
      </c>
      <c r="E462" s="8" t="s">
        <v>35</v>
      </c>
      <c r="F462" s="8" t="s">
        <v>85</v>
      </c>
      <c r="G462" s="10">
        <v>6</v>
      </c>
      <c r="H462" s="11">
        <v>39.42</v>
      </c>
      <c r="I462" s="11">
        <v>236.52</v>
      </c>
      <c r="J462" s="11">
        <v>112.33</v>
      </c>
      <c r="K462" s="11">
        <v>124.19</v>
      </c>
      <c r="L462" s="8">
        <v>2025</v>
      </c>
      <c r="M462" s="8" t="s">
        <v>58</v>
      </c>
    </row>
    <row r="463" spans="1:13">
      <c r="A463" s="8" t="s">
        <v>527</v>
      </c>
      <c r="B463" s="9">
        <v>46209</v>
      </c>
      <c r="C463" s="8" t="s">
        <v>34</v>
      </c>
      <c r="D463" s="8" t="s">
        <v>29</v>
      </c>
      <c r="E463" s="8" t="s">
        <v>30</v>
      </c>
      <c r="F463" s="8" t="s">
        <v>66</v>
      </c>
      <c r="G463" s="10">
        <v>12</v>
      </c>
      <c r="H463" s="11">
        <v>24.51</v>
      </c>
      <c r="I463" s="11">
        <v>294.12</v>
      </c>
      <c r="J463" s="11">
        <v>118.49</v>
      </c>
      <c r="K463" s="11">
        <v>175.63</v>
      </c>
      <c r="L463" s="8">
        <v>2026</v>
      </c>
      <c r="M463" s="8" t="s">
        <v>69</v>
      </c>
    </row>
    <row r="464" spans="1:13">
      <c r="A464" s="8" t="s">
        <v>528</v>
      </c>
      <c r="B464" s="9">
        <v>45852</v>
      </c>
      <c r="C464" s="8" t="s">
        <v>28</v>
      </c>
      <c r="D464" s="8" t="s">
        <v>43</v>
      </c>
      <c r="E464" s="8" t="s">
        <v>65</v>
      </c>
      <c r="F464" s="8" t="s">
        <v>31</v>
      </c>
      <c r="G464" s="10">
        <v>3</v>
      </c>
      <c r="H464" s="11">
        <v>166.75</v>
      </c>
      <c r="I464" s="11">
        <v>500.25</v>
      </c>
      <c r="J464" s="11">
        <v>262.17</v>
      </c>
      <c r="K464" s="11">
        <v>238.08</v>
      </c>
      <c r="L464" s="8">
        <v>2025</v>
      </c>
      <c r="M464" s="8" t="s">
        <v>69</v>
      </c>
    </row>
    <row r="465" spans="1:13">
      <c r="A465" s="8" t="s">
        <v>529</v>
      </c>
      <c r="B465" s="9">
        <v>45899</v>
      </c>
      <c r="C465" s="8" t="s">
        <v>52</v>
      </c>
      <c r="D465" s="8" t="s">
        <v>43</v>
      </c>
      <c r="E465" s="8" t="s">
        <v>57</v>
      </c>
      <c r="F465" s="8" t="s">
        <v>66</v>
      </c>
      <c r="G465" s="10">
        <v>4</v>
      </c>
      <c r="H465" s="11">
        <v>473.51</v>
      </c>
      <c r="I465" s="11">
        <v>1894.04</v>
      </c>
      <c r="J465" s="11">
        <v>1246.6199999999999</v>
      </c>
      <c r="K465" s="11">
        <v>647.41999999999996</v>
      </c>
      <c r="L465" s="8">
        <v>2025</v>
      </c>
      <c r="M465" s="8" t="s">
        <v>62</v>
      </c>
    </row>
    <row r="466" spans="1:13">
      <c r="A466" s="8" t="s">
        <v>530</v>
      </c>
      <c r="B466" s="9">
        <v>45722</v>
      </c>
      <c r="C466" s="8" t="s">
        <v>34</v>
      </c>
      <c r="D466" s="8" t="s">
        <v>38</v>
      </c>
      <c r="E466" s="8" t="s">
        <v>48</v>
      </c>
      <c r="F466" s="8" t="s">
        <v>40</v>
      </c>
      <c r="G466" s="10">
        <v>5</v>
      </c>
      <c r="H466" s="11">
        <v>208.66</v>
      </c>
      <c r="I466" s="11">
        <v>1043.3</v>
      </c>
      <c r="J466" s="11">
        <v>677.48</v>
      </c>
      <c r="K466" s="11">
        <v>365.82</v>
      </c>
      <c r="L466" s="8">
        <v>2025</v>
      </c>
      <c r="M466" s="8" t="s">
        <v>77</v>
      </c>
    </row>
    <row r="467" spans="1:13">
      <c r="A467" s="8" t="s">
        <v>531</v>
      </c>
      <c r="B467" s="9">
        <v>45991</v>
      </c>
      <c r="C467" s="8" t="s">
        <v>28</v>
      </c>
      <c r="D467" s="8" t="s">
        <v>29</v>
      </c>
      <c r="E467" s="8" t="s">
        <v>35</v>
      </c>
      <c r="F467" s="8" t="s">
        <v>49</v>
      </c>
      <c r="G467" s="10">
        <v>7</v>
      </c>
      <c r="H467" s="11">
        <v>41.65</v>
      </c>
      <c r="I467" s="11">
        <v>291.55</v>
      </c>
      <c r="J467" s="11">
        <v>133.47</v>
      </c>
      <c r="K467" s="11">
        <v>158.08000000000001</v>
      </c>
      <c r="L467" s="8">
        <v>2025</v>
      </c>
      <c r="M467" s="8" t="s">
        <v>41</v>
      </c>
    </row>
    <row r="468" spans="1:13">
      <c r="A468" s="8" t="s">
        <v>532</v>
      </c>
      <c r="B468" s="9">
        <v>46092</v>
      </c>
      <c r="C468" s="8" t="s">
        <v>56</v>
      </c>
      <c r="D468" s="8" t="s">
        <v>29</v>
      </c>
      <c r="E468" s="8" t="s">
        <v>116</v>
      </c>
      <c r="F468" s="8" t="s">
        <v>53</v>
      </c>
      <c r="G468" s="10">
        <v>11</v>
      </c>
      <c r="H468" s="11">
        <v>16.79</v>
      </c>
      <c r="I468" s="11">
        <v>184.69</v>
      </c>
      <c r="J468" s="11">
        <v>73.55</v>
      </c>
      <c r="K468" s="11">
        <v>111.14</v>
      </c>
      <c r="L468" s="8">
        <v>2026</v>
      </c>
      <c r="M468" s="8" t="s">
        <v>77</v>
      </c>
    </row>
    <row r="469" spans="1:13">
      <c r="A469" s="8" t="s">
        <v>533</v>
      </c>
      <c r="B469" s="9">
        <v>46148</v>
      </c>
      <c r="C469" s="8" t="s">
        <v>52</v>
      </c>
      <c r="D469" s="8" t="s">
        <v>43</v>
      </c>
      <c r="E469" s="8" t="s">
        <v>57</v>
      </c>
      <c r="F469" s="8" t="s">
        <v>66</v>
      </c>
      <c r="G469" s="10">
        <v>5</v>
      </c>
      <c r="H469" s="11">
        <v>524.66</v>
      </c>
      <c r="I469" s="11">
        <v>2623.3</v>
      </c>
      <c r="J469" s="11">
        <v>1773.29</v>
      </c>
      <c r="K469" s="11">
        <v>850.01</v>
      </c>
      <c r="L469" s="8">
        <v>2026</v>
      </c>
      <c r="M469" s="8" t="s">
        <v>50</v>
      </c>
    </row>
    <row r="470" spans="1:13">
      <c r="A470" s="8" t="s">
        <v>534</v>
      </c>
      <c r="B470" s="9">
        <v>46119</v>
      </c>
      <c r="C470" s="8" t="s">
        <v>28</v>
      </c>
      <c r="D470" s="8" t="s">
        <v>38</v>
      </c>
      <c r="E470" s="8" t="s">
        <v>48</v>
      </c>
      <c r="F470" s="8" t="s">
        <v>40</v>
      </c>
      <c r="G470" s="10">
        <v>1</v>
      </c>
      <c r="H470" s="11">
        <v>220.63</v>
      </c>
      <c r="I470" s="11">
        <v>220.63</v>
      </c>
      <c r="J470" s="11">
        <v>135.24</v>
      </c>
      <c r="K470" s="11">
        <v>85.39</v>
      </c>
      <c r="L470" s="8">
        <v>2026</v>
      </c>
      <c r="M470" s="8" t="s">
        <v>46</v>
      </c>
    </row>
    <row r="471" spans="1:13">
      <c r="A471" s="8" t="s">
        <v>535</v>
      </c>
      <c r="B471" s="9">
        <v>45911</v>
      </c>
      <c r="C471" s="8" t="s">
        <v>52</v>
      </c>
      <c r="D471" s="8" t="s">
        <v>29</v>
      </c>
      <c r="E471" s="8" t="s">
        <v>116</v>
      </c>
      <c r="F471" s="8" t="s">
        <v>45</v>
      </c>
      <c r="G471" s="10">
        <v>10</v>
      </c>
      <c r="H471" s="11">
        <v>16.3</v>
      </c>
      <c r="I471" s="11">
        <v>163</v>
      </c>
      <c r="J471" s="11">
        <v>66.89</v>
      </c>
      <c r="K471" s="11">
        <v>96.11</v>
      </c>
      <c r="L471" s="8">
        <v>2025</v>
      </c>
      <c r="M471" s="8" t="s">
        <v>98</v>
      </c>
    </row>
    <row r="472" spans="1:13">
      <c r="A472" s="8" t="s">
        <v>536</v>
      </c>
      <c r="B472" s="9">
        <v>46066</v>
      </c>
      <c r="C472" s="8" t="s">
        <v>52</v>
      </c>
      <c r="D472" s="8" t="s">
        <v>43</v>
      </c>
      <c r="E472" s="8" t="s">
        <v>94</v>
      </c>
      <c r="F472" s="8" t="s">
        <v>85</v>
      </c>
      <c r="G472" s="10">
        <v>4</v>
      </c>
      <c r="H472" s="11">
        <v>305.3</v>
      </c>
      <c r="I472" s="11">
        <v>1221.2</v>
      </c>
      <c r="J472" s="11">
        <v>693.13</v>
      </c>
      <c r="K472" s="11">
        <v>528.07000000000005</v>
      </c>
      <c r="L472" s="8">
        <v>2026</v>
      </c>
      <c r="M472" s="8" t="s">
        <v>83</v>
      </c>
    </row>
    <row r="473" spans="1:13">
      <c r="A473" s="8" t="s">
        <v>537</v>
      </c>
      <c r="B473" s="9">
        <v>45751</v>
      </c>
      <c r="C473" s="8" t="s">
        <v>52</v>
      </c>
      <c r="D473" s="8" t="s">
        <v>29</v>
      </c>
      <c r="E473" s="8" t="s">
        <v>30</v>
      </c>
      <c r="F473" s="8" t="s">
        <v>45</v>
      </c>
      <c r="G473" s="10">
        <v>4</v>
      </c>
      <c r="H473" s="11">
        <v>28.01</v>
      </c>
      <c r="I473" s="11">
        <v>112.04</v>
      </c>
      <c r="J473" s="11">
        <v>47.95</v>
      </c>
      <c r="K473" s="11">
        <v>64.09</v>
      </c>
      <c r="L473" s="8">
        <v>2025</v>
      </c>
      <c r="M473" s="8" t="s">
        <v>46</v>
      </c>
    </row>
    <row r="474" spans="1:13">
      <c r="A474" s="8" t="s">
        <v>538</v>
      </c>
      <c r="B474" s="9">
        <v>46253</v>
      </c>
      <c r="C474" s="8" t="s">
        <v>52</v>
      </c>
      <c r="D474" s="8" t="s">
        <v>43</v>
      </c>
      <c r="E474" s="8" t="s">
        <v>65</v>
      </c>
      <c r="F474" s="8" t="s">
        <v>31</v>
      </c>
      <c r="G474" s="10">
        <v>4</v>
      </c>
      <c r="H474" s="11">
        <v>183.01</v>
      </c>
      <c r="I474" s="11">
        <v>732.04</v>
      </c>
      <c r="J474" s="11">
        <v>400.94</v>
      </c>
      <c r="K474" s="11">
        <v>331.1</v>
      </c>
      <c r="L474" s="8">
        <v>2026</v>
      </c>
      <c r="M474" s="8" t="s">
        <v>62</v>
      </c>
    </row>
    <row r="475" spans="1:13">
      <c r="A475" s="8" t="s">
        <v>539</v>
      </c>
      <c r="B475" s="9">
        <v>46137</v>
      </c>
      <c r="C475" s="8" t="s">
        <v>52</v>
      </c>
      <c r="D475" s="8" t="s">
        <v>38</v>
      </c>
      <c r="E475" s="8" t="s">
        <v>134</v>
      </c>
      <c r="F475" s="8" t="s">
        <v>85</v>
      </c>
      <c r="G475" s="10">
        <v>1</v>
      </c>
      <c r="H475" s="11">
        <v>298.92</v>
      </c>
      <c r="I475" s="11">
        <v>298.92</v>
      </c>
      <c r="J475" s="11">
        <v>227.13</v>
      </c>
      <c r="K475" s="11">
        <v>71.790000000000006</v>
      </c>
      <c r="L475" s="8">
        <v>2026</v>
      </c>
      <c r="M475" s="8" t="s">
        <v>46</v>
      </c>
    </row>
    <row r="476" spans="1:13">
      <c r="A476" s="8" t="s">
        <v>540</v>
      </c>
      <c r="B476" s="9">
        <v>46076</v>
      </c>
      <c r="C476" s="8" t="s">
        <v>28</v>
      </c>
      <c r="D476" s="8" t="s">
        <v>43</v>
      </c>
      <c r="E476" s="8" t="s">
        <v>94</v>
      </c>
      <c r="F476" s="8" t="s">
        <v>66</v>
      </c>
      <c r="G476" s="10">
        <v>3</v>
      </c>
      <c r="H476" s="11">
        <v>246.05</v>
      </c>
      <c r="I476" s="11">
        <v>738.15</v>
      </c>
      <c r="J476" s="11">
        <v>418.09</v>
      </c>
      <c r="K476" s="11">
        <v>320.06</v>
      </c>
      <c r="L476" s="8">
        <v>2026</v>
      </c>
      <c r="M476" s="8" t="s">
        <v>83</v>
      </c>
    </row>
    <row r="477" spans="1:13">
      <c r="A477" s="8" t="s">
        <v>541</v>
      </c>
      <c r="B477" s="9">
        <v>45983</v>
      </c>
      <c r="C477" s="8" t="s">
        <v>52</v>
      </c>
      <c r="D477" s="8" t="s">
        <v>38</v>
      </c>
      <c r="E477" s="8" t="s">
        <v>134</v>
      </c>
      <c r="F477" s="8" t="s">
        <v>40</v>
      </c>
      <c r="G477" s="10">
        <v>2</v>
      </c>
      <c r="H477" s="11">
        <v>292.8</v>
      </c>
      <c r="I477" s="11">
        <v>585.6</v>
      </c>
      <c r="J477" s="11">
        <v>436.8</v>
      </c>
      <c r="K477" s="11">
        <v>148.80000000000001</v>
      </c>
      <c r="L477" s="8">
        <v>2025</v>
      </c>
      <c r="M477" s="8" t="s">
        <v>41</v>
      </c>
    </row>
    <row r="478" spans="1:13">
      <c r="A478" s="8" t="s">
        <v>542</v>
      </c>
      <c r="B478" s="9">
        <v>46068</v>
      </c>
      <c r="C478" s="8" t="s">
        <v>28</v>
      </c>
      <c r="D478" s="8" t="s">
        <v>29</v>
      </c>
      <c r="E478" s="8" t="s">
        <v>30</v>
      </c>
      <c r="F478" s="8" t="s">
        <v>31</v>
      </c>
      <c r="G478" s="10">
        <v>5</v>
      </c>
      <c r="H478" s="11">
        <v>23.78</v>
      </c>
      <c r="I478" s="11">
        <v>118.9</v>
      </c>
      <c r="J478" s="11">
        <v>51.01</v>
      </c>
      <c r="K478" s="11">
        <v>67.89</v>
      </c>
      <c r="L478" s="8">
        <v>2026</v>
      </c>
      <c r="M478" s="8" t="s">
        <v>83</v>
      </c>
    </row>
    <row r="479" spans="1:13">
      <c r="A479" s="8" t="s">
        <v>543</v>
      </c>
      <c r="B479" s="9">
        <v>46140</v>
      </c>
      <c r="C479" s="8" t="s">
        <v>56</v>
      </c>
      <c r="D479" s="8" t="s">
        <v>29</v>
      </c>
      <c r="E479" s="8" t="s">
        <v>30</v>
      </c>
      <c r="F479" s="8" t="s">
        <v>53</v>
      </c>
      <c r="G479" s="10">
        <v>10</v>
      </c>
      <c r="H479" s="11">
        <v>27.76</v>
      </c>
      <c r="I479" s="11">
        <v>277.60000000000002</v>
      </c>
      <c r="J479" s="11">
        <v>124.77</v>
      </c>
      <c r="K479" s="11">
        <v>152.83000000000001</v>
      </c>
      <c r="L479" s="8">
        <v>2026</v>
      </c>
      <c r="M479" s="8" t="s">
        <v>46</v>
      </c>
    </row>
    <row r="480" spans="1:13">
      <c r="A480" s="8" t="s">
        <v>544</v>
      </c>
      <c r="B480" s="9">
        <v>46207</v>
      </c>
      <c r="C480" s="8" t="s">
        <v>28</v>
      </c>
      <c r="D480" s="8" t="s">
        <v>38</v>
      </c>
      <c r="E480" s="8" t="s">
        <v>39</v>
      </c>
      <c r="F480" s="8" t="s">
        <v>31</v>
      </c>
      <c r="G480" s="10">
        <v>1</v>
      </c>
      <c r="H480" s="11">
        <v>49.01</v>
      </c>
      <c r="I480" s="11">
        <v>49.01</v>
      </c>
      <c r="J480" s="11">
        <v>19.84</v>
      </c>
      <c r="K480" s="11">
        <v>29.17</v>
      </c>
      <c r="L480" s="8">
        <v>2026</v>
      </c>
      <c r="M480" s="8" t="s">
        <v>69</v>
      </c>
    </row>
    <row r="481" spans="1:13">
      <c r="A481" s="8" t="s">
        <v>545</v>
      </c>
      <c r="B481" s="9">
        <v>46164</v>
      </c>
      <c r="C481" s="8" t="s">
        <v>52</v>
      </c>
      <c r="D481" s="8" t="s">
        <v>29</v>
      </c>
      <c r="E481" s="8" t="s">
        <v>76</v>
      </c>
      <c r="F481" s="8" t="s">
        <v>45</v>
      </c>
      <c r="G481" s="10">
        <v>7</v>
      </c>
      <c r="H481" s="11">
        <v>11.28</v>
      </c>
      <c r="I481" s="11">
        <v>78.959999999999994</v>
      </c>
      <c r="J481" s="11">
        <v>27.4</v>
      </c>
      <c r="K481" s="11">
        <v>51.56</v>
      </c>
      <c r="L481" s="8">
        <v>2026</v>
      </c>
      <c r="M481" s="8" t="s">
        <v>50</v>
      </c>
    </row>
    <row r="482" spans="1:13">
      <c r="A482" s="8" t="s">
        <v>546</v>
      </c>
      <c r="B482" s="9">
        <v>46109</v>
      </c>
      <c r="C482" s="8" t="s">
        <v>56</v>
      </c>
      <c r="D482" s="8" t="s">
        <v>43</v>
      </c>
      <c r="E482" s="8" t="s">
        <v>44</v>
      </c>
      <c r="F482" s="8" t="s">
        <v>53</v>
      </c>
      <c r="G482" s="10">
        <v>2</v>
      </c>
      <c r="H482" s="11">
        <v>426.32</v>
      </c>
      <c r="I482" s="11">
        <v>852.64</v>
      </c>
      <c r="J482" s="11">
        <v>531.54</v>
      </c>
      <c r="K482" s="11">
        <v>321.10000000000002</v>
      </c>
      <c r="L482" s="8">
        <v>2026</v>
      </c>
      <c r="M482" s="8" t="s">
        <v>77</v>
      </c>
    </row>
    <row r="483" spans="1:13">
      <c r="A483" s="8" t="s">
        <v>547</v>
      </c>
      <c r="B483" s="9">
        <v>46083</v>
      </c>
      <c r="C483" s="8" t="s">
        <v>52</v>
      </c>
      <c r="D483" s="8" t="s">
        <v>29</v>
      </c>
      <c r="E483" s="8" t="s">
        <v>116</v>
      </c>
      <c r="F483" s="8" t="s">
        <v>53</v>
      </c>
      <c r="G483" s="10">
        <v>3</v>
      </c>
      <c r="H483" s="11">
        <v>17.3</v>
      </c>
      <c r="I483" s="11">
        <v>51.9</v>
      </c>
      <c r="J483" s="11">
        <v>19.23</v>
      </c>
      <c r="K483" s="11">
        <v>32.67</v>
      </c>
      <c r="L483" s="8">
        <v>2026</v>
      </c>
      <c r="M483" s="8" t="s">
        <v>77</v>
      </c>
    </row>
    <row r="484" spans="1:13">
      <c r="A484" s="8" t="s">
        <v>548</v>
      </c>
      <c r="B484" s="9">
        <v>45714</v>
      </c>
      <c r="C484" s="8" t="s">
        <v>56</v>
      </c>
      <c r="D484" s="8" t="s">
        <v>38</v>
      </c>
      <c r="E484" s="8" t="s">
        <v>39</v>
      </c>
      <c r="F484" s="8" t="s">
        <v>66</v>
      </c>
      <c r="G484" s="10">
        <v>1</v>
      </c>
      <c r="H484" s="11">
        <v>50.59</v>
      </c>
      <c r="I484" s="11">
        <v>50.59</v>
      </c>
      <c r="J484" s="11">
        <v>20.65</v>
      </c>
      <c r="K484" s="11">
        <v>29.94</v>
      </c>
      <c r="L484" s="8">
        <v>2025</v>
      </c>
      <c r="M484" s="8" t="s">
        <v>83</v>
      </c>
    </row>
    <row r="485" spans="1:13">
      <c r="A485" s="8" t="s">
        <v>549</v>
      </c>
      <c r="B485" s="9">
        <v>45805</v>
      </c>
      <c r="C485" s="8" t="s">
        <v>52</v>
      </c>
      <c r="D485" s="8" t="s">
        <v>29</v>
      </c>
      <c r="E485" s="8" t="s">
        <v>30</v>
      </c>
      <c r="F485" s="8" t="s">
        <v>74</v>
      </c>
      <c r="G485" s="10">
        <v>5</v>
      </c>
      <c r="H485" s="11">
        <v>26.17</v>
      </c>
      <c r="I485" s="11">
        <v>130.85</v>
      </c>
      <c r="J485" s="11">
        <v>57.39</v>
      </c>
      <c r="K485" s="11">
        <v>73.459999999999994</v>
      </c>
      <c r="L485" s="8">
        <v>2025</v>
      </c>
      <c r="M485" s="8" t="s">
        <v>50</v>
      </c>
    </row>
    <row r="486" spans="1:13">
      <c r="A486" s="8" t="s">
        <v>550</v>
      </c>
      <c r="B486" s="9">
        <v>45783</v>
      </c>
      <c r="C486" s="8" t="s">
        <v>34</v>
      </c>
      <c r="D486" s="8" t="s">
        <v>43</v>
      </c>
      <c r="E486" s="8" t="s">
        <v>57</v>
      </c>
      <c r="F486" s="8" t="s">
        <v>31</v>
      </c>
      <c r="G486" s="10">
        <v>3</v>
      </c>
      <c r="H486" s="11">
        <v>439.02</v>
      </c>
      <c r="I486" s="11">
        <v>1317.06</v>
      </c>
      <c r="J486" s="11">
        <v>823.25</v>
      </c>
      <c r="K486" s="11">
        <v>493.81</v>
      </c>
      <c r="L486" s="8">
        <v>2025</v>
      </c>
      <c r="M486" s="8" t="s">
        <v>50</v>
      </c>
    </row>
    <row r="487" spans="1:13">
      <c r="A487" s="8" t="s">
        <v>551</v>
      </c>
      <c r="B487" s="9">
        <v>46030</v>
      </c>
      <c r="C487" s="8" t="s">
        <v>56</v>
      </c>
      <c r="D487" s="8" t="s">
        <v>38</v>
      </c>
      <c r="E487" s="8" t="s">
        <v>48</v>
      </c>
      <c r="F487" s="8" t="s">
        <v>31</v>
      </c>
      <c r="G487" s="10">
        <v>2</v>
      </c>
      <c r="H487" s="11">
        <v>206.89</v>
      </c>
      <c r="I487" s="11">
        <v>413.78</v>
      </c>
      <c r="J487" s="11">
        <v>265.02</v>
      </c>
      <c r="K487" s="11">
        <v>148.76</v>
      </c>
      <c r="L487" s="8">
        <v>2026</v>
      </c>
      <c r="M487" s="8" t="s">
        <v>36</v>
      </c>
    </row>
    <row r="488" spans="1:13">
      <c r="A488" s="8" t="s">
        <v>552</v>
      </c>
      <c r="B488" s="9">
        <v>45810</v>
      </c>
      <c r="C488" s="8" t="s">
        <v>28</v>
      </c>
      <c r="D488" s="8" t="s">
        <v>29</v>
      </c>
      <c r="E488" s="8" t="s">
        <v>35</v>
      </c>
      <c r="F488" s="8" t="s">
        <v>85</v>
      </c>
      <c r="G488" s="10">
        <v>2</v>
      </c>
      <c r="H488" s="11">
        <v>39.700000000000003</v>
      </c>
      <c r="I488" s="11">
        <v>79.400000000000006</v>
      </c>
      <c r="J488" s="11">
        <v>36.47</v>
      </c>
      <c r="K488" s="11">
        <v>42.93</v>
      </c>
      <c r="L488" s="8">
        <v>2025</v>
      </c>
      <c r="M488" s="8" t="s">
        <v>54</v>
      </c>
    </row>
    <row r="489" spans="1:13">
      <c r="A489" s="8" t="s">
        <v>553</v>
      </c>
      <c r="B489" s="9">
        <v>46095</v>
      </c>
      <c r="C489" s="8" t="s">
        <v>56</v>
      </c>
      <c r="D489" s="8" t="s">
        <v>29</v>
      </c>
      <c r="E489" s="8" t="s">
        <v>76</v>
      </c>
      <c r="F489" s="8" t="s">
        <v>53</v>
      </c>
      <c r="G489" s="10">
        <v>6</v>
      </c>
      <c r="H489" s="11">
        <v>10.33</v>
      </c>
      <c r="I489" s="11">
        <v>61.98</v>
      </c>
      <c r="J489" s="11">
        <v>22.71</v>
      </c>
      <c r="K489" s="11">
        <v>39.270000000000003</v>
      </c>
      <c r="L489" s="8">
        <v>2026</v>
      </c>
      <c r="M489" s="8" t="s">
        <v>77</v>
      </c>
    </row>
    <row r="490" spans="1:13">
      <c r="A490" s="8" t="s">
        <v>554</v>
      </c>
      <c r="B490" s="9">
        <v>46158</v>
      </c>
      <c r="C490" s="8" t="s">
        <v>34</v>
      </c>
      <c r="D490" s="8" t="s">
        <v>43</v>
      </c>
      <c r="E490" s="8" t="s">
        <v>57</v>
      </c>
      <c r="F490" s="8" t="s">
        <v>31</v>
      </c>
      <c r="G490" s="10">
        <v>4</v>
      </c>
      <c r="H490" s="11">
        <v>476.19</v>
      </c>
      <c r="I490" s="11">
        <v>1904.76</v>
      </c>
      <c r="J490" s="11">
        <v>1259.17</v>
      </c>
      <c r="K490" s="11">
        <v>645.59</v>
      </c>
      <c r="L490" s="8">
        <v>2026</v>
      </c>
      <c r="M490" s="8" t="s">
        <v>50</v>
      </c>
    </row>
    <row r="491" spans="1:13">
      <c r="A491" s="8" t="s">
        <v>555</v>
      </c>
      <c r="B491" s="9">
        <v>46066</v>
      </c>
      <c r="C491" s="8" t="s">
        <v>52</v>
      </c>
      <c r="D491" s="8" t="s">
        <v>38</v>
      </c>
      <c r="E491" s="8" t="s">
        <v>48</v>
      </c>
      <c r="F491" s="8" t="s">
        <v>40</v>
      </c>
      <c r="G491" s="10">
        <v>5</v>
      </c>
      <c r="H491" s="11">
        <v>210.91</v>
      </c>
      <c r="I491" s="11">
        <v>1054.55</v>
      </c>
      <c r="J491" s="11">
        <v>655.04999999999995</v>
      </c>
      <c r="K491" s="11">
        <v>399.5</v>
      </c>
      <c r="L491" s="8">
        <v>2026</v>
      </c>
      <c r="M491" s="8" t="s">
        <v>83</v>
      </c>
    </row>
    <row r="492" spans="1:13">
      <c r="A492" s="8" t="s">
        <v>556</v>
      </c>
      <c r="B492" s="9">
        <v>46150</v>
      </c>
      <c r="C492" s="8" t="s">
        <v>28</v>
      </c>
      <c r="D492" s="8" t="s">
        <v>29</v>
      </c>
      <c r="E492" s="8" t="s">
        <v>76</v>
      </c>
      <c r="F492" s="8" t="s">
        <v>66</v>
      </c>
      <c r="G492" s="10">
        <v>9</v>
      </c>
      <c r="H492" s="11">
        <v>11.95</v>
      </c>
      <c r="I492" s="11">
        <v>107.55</v>
      </c>
      <c r="J492" s="11">
        <v>41.74</v>
      </c>
      <c r="K492" s="11">
        <v>65.81</v>
      </c>
      <c r="L492" s="8">
        <v>2026</v>
      </c>
      <c r="M492" s="8" t="s">
        <v>50</v>
      </c>
    </row>
    <row r="493" spans="1:13">
      <c r="A493" s="8" t="s">
        <v>557</v>
      </c>
      <c r="B493" s="9">
        <v>45713</v>
      </c>
      <c r="C493" s="8" t="s">
        <v>34</v>
      </c>
      <c r="D493" s="8" t="s">
        <v>38</v>
      </c>
      <c r="E493" s="8" t="s">
        <v>61</v>
      </c>
      <c r="F493" s="8" t="s">
        <v>53</v>
      </c>
      <c r="G493" s="10">
        <v>2</v>
      </c>
      <c r="H493" s="11">
        <v>834.12</v>
      </c>
      <c r="I493" s="11">
        <v>1668.24</v>
      </c>
      <c r="J493" s="11">
        <v>1204.52</v>
      </c>
      <c r="K493" s="11">
        <v>463.72</v>
      </c>
      <c r="L493" s="8">
        <v>2025</v>
      </c>
      <c r="M493" s="8" t="s">
        <v>83</v>
      </c>
    </row>
    <row r="494" spans="1:13">
      <c r="A494" s="8" t="s">
        <v>558</v>
      </c>
      <c r="B494" s="9">
        <v>45843</v>
      </c>
      <c r="C494" s="8" t="s">
        <v>28</v>
      </c>
      <c r="D494" s="8" t="s">
        <v>38</v>
      </c>
      <c r="E494" s="8" t="s">
        <v>48</v>
      </c>
      <c r="F494" s="8" t="s">
        <v>85</v>
      </c>
      <c r="G494" s="10">
        <v>4</v>
      </c>
      <c r="H494" s="11">
        <v>211.44</v>
      </c>
      <c r="I494" s="11">
        <v>845.76</v>
      </c>
      <c r="J494" s="11">
        <v>560.94000000000005</v>
      </c>
      <c r="K494" s="11">
        <v>284.82</v>
      </c>
      <c r="L494" s="8">
        <v>2025</v>
      </c>
      <c r="M494" s="8" t="s">
        <v>69</v>
      </c>
    </row>
    <row r="495" spans="1:13">
      <c r="A495" s="8" t="s">
        <v>559</v>
      </c>
      <c r="B495" s="9">
        <v>45734</v>
      </c>
      <c r="C495" s="8" t="s">
        <v>34</v>
      </c>
      <c r="D495" s="8" t="s">
        <v>29</v>
      </c>
      <c r="E495" s="8" t="s">
        <v>35</v>
      </c>
      <c r="F495" s="8" t="s">
        <v>40</v>
      </c>
      <c r="G495" s="10">
        <v>11</v>
      </c>
      <c r="H495" s="11">
        <v>41.25</v>
      </c>
      <c r="I495" s="11">
        <v>453.75</v>
      </c>
      <c r="J495" s="11">
        <v>207.48</v>
      </c>
      <c r="K495" s="11">
        <v>246.27</v>
      </c>
      <c r="L495" s="8">
        <v>2025</v>
      </c>
      <c r="M495" s="8" t="s">
        <v>77</v>
      </c>
    </row>
    <row r="496" spans="1:13">
      <c r="A496" s="8" t="s">
        <v>560</v>
      </c>
      <c r="B496" s="9">
        <v>46144</v>
      </c>
      <c r="C496" s="8" t="s">
        <v>34</v>
      </c>
      <c r="D496" s="8" t="s">
        <v>29</v>
      </c>
      <c r="E496" s="8" t="s">
        <v>116</v>
      </c>
      <c r="F496" s="8" t="s">
        <v>53</v>
      </c>
      <c r="G496" s="10">
        <v>1</v>
      </c>
      <c r="H496" s="11">
        <v>18.7</v>
      </c>
      <c r="I496" s="11">
        <v>18.7</v>
      </c>
      <c r="J496" s="11">
        <v>6.6</v>
      </c>
      <c r="K496" s="11">
        <v>12.1</v>
      </c>
      <c r="L496" s="8">
        <v>2026</v>
      </c>
      <c r="M496" s="8" t="s">
        <v>50</v>
      </c>
    </row>
    <row r="497" spans="1:13">
      <c r="A497" s="8" t="s">
        <v>561</v>
      </c>
      <c r="B497" s="9">
        <v>46141</v>
      </c>
      <c r="C497" s="8" t="s">
        <v>34</v>
      </c>
      <c r="D497" s="8" t="s">
        <v>38</v>
      </c>
      <c r="E497" s="8" t="s">
        <v>39</v>
      </c>
      <c r="F497" s="8" t="s">
        <v>31</v>
      </c>
      <c r="G497" s="10">
        <v>3</v>
      </c>
      <c r="H497" s="11">
        <v>56.12</v>
      </c>
      <c r="I497" s="11">
        <v>168.36</v>
      </c>
      <c r="J497" s="11">
        <v>77.48</v>
      </c>
      <c r="K497" s="11">
        <v>90.88</v>
      </c>
      <c r="L497" s="8">
        <v>2026</v>
      </c>
      <c r="M497" s="8" t="s">
        <v>46</v>
      </c>
    </row>
    <row r="498" spans="1:13">
      <c r="A498" s="8" t="s">
        <v>562</v>
      </c>
      <c r="B498" s="9">
        <v>46025</v>
      </c>
      <c r="C498" s="8" t="s">
        <v>34</v>
      </c>
      <c r="D498" s="8" t="s">
        <v>29</v>
      </c>
      <c r="E498" s="8" t="s">
        <v>30</v>
      </c>
      <c r="F498" s="8" t="s">
        <v>85</v>
      </c>
      <c r="G498" s="10">
        <v>10</v>
      </c>
      <c r="H498" s="11">
        <v>21.6</v>
      </c>
      <c r="I498" s="11">
        <v>216</v>
      </c>
      <c r="J498" s="11">
        <v>85.52</v>
      </c>
      <c r="K498" s="11">
        <v>130.47999999999999</v>
      </c>
      <c r="L498" s="8">
        <v>2026</v>
      </c>
      <c r="M498" s="8" t="s">
        <v>36</v>
      </c>
    </row>
    <row r="499" spans="1:13">
      <c r="A499" s="8" t="s">
        <v>563</v>
      </c>
      <c r="B499" s="9">
        <v>46188</v>
      </c>
      <c r="C499" s="8" t="s">
        <v>34</v>
      </c>
      <c r="D499" s="8" t="s">
        <v>43</v>
      </c>
      <c r="E499" s="8" t="s">
        <v>65</v>
      </c>
      <c r="F499" s="8" t="s">
        <v>40</v>
      </c>
      <c r="G499" s="10">
        <v>3</v>
      </c>
      <c r="H499" s="11">
        <v>201.15</v>
      </c>
      <c r="I499" s="11">
        <v>603.45000000000005</v>
      </c>
      <c r="J499" s="11">
        <v>351.41</v>
      </c>
      <c r="K499" s="11">
        <v>252.04</v>
      </c>
      <c r="L499" s="8">
        <v>2026</v>
      </c>
      <c r="M499" s="8" t="s">
        <v>54</v>
      </c>
    </row>
    <row r="500" spans="1:13">
      <c r="A500" s="8" t="s">
        <v>564</v>
      </c>
      <c r="B500" s="9">
        <v>45951</v>
      </c>
      <c r="C500" s="8" t="s">
        <v>34</v>
      </c>
      <c r="D500" s="8" t="s">
        <v>38</v>
      </c>
      <c r="E500" s="8" t="s">
        <v>61</v>
      </c>
      <c r="F500" s="8" t="s">
        <v>31</v>
      </c>
      <c r="G500" s="10">
        <v>4</v>
      </c>
      <c r="H500" s="11">
        <v>1071.75</v>
      </c>
      <c r="I500" s="11">
        <v>4287</v>
      </c>
      <c r="J500" s="11">
        <v>3329.5</v>
      </c>
      <c r="K500" s="11">
        <v>957.5</v>
      </c>
      <c r="L500" s="8">
        <v>2025</v>
      </c>
      <c r="M500" s="8" t="s">
        <v>58</v>
      </c>
    </row>
    <row r="501" spans="1:13">
      <c r="A501" s="8" t="s">
        <v>565</v>
      </c>
      <c r="B501" s="9">
        <v>45970</v>
      </c>
      <c r="C501" s="8" t="s">
        <v>56</v>
      </c>
      <c r="D501" s="8" t="s">
        <v>29</v>
      </c>
      <c r="E501" s="8" t="s">
        <v>76</v>
      </c>
      <c r="F501" s="8" t="s">
        <v>49</v>
      </c>
      <c r="G501" s="10">
        <v>3</v>
      </c>
      <c r="H501" s="11">
        <v>12.99</v>
      </c>
      <c r="I501" s="11">
        <v>38.97</v>
      </c>
      <c r="J501" s="11">
        <v>14.15</v>
      </c>
      <c r="K501" s="11">
        <v>24.82</v>
      </c>
      <c r="L501" s="8">
        <v>2025</v>
      </c>
      <c r="M501" s="8" t="s">
        <v>41</v>
      </c>
    </row>
    <row r="502" spans="1:13">
      <c r="A502" s="8" t="s">
        <v>566</v>
      </c>
      <c r="B502" s="9">
        <v>46215</v>
      </c>
      <c r="C502" s="8" t="s">
        <v>52</v>
      </c>
      <c r="D502" s="8" t="s">
        <v>29</v>
      </c>
      <c r="E502" s="8" t="s">
        <v>35</v>
      </c>
      <c r="F502" s="8" t="s">
        <v>40</v>
      </c>
      <c r="G502" s="10">
        <v>10</v>
      </c>
      <c r="H502" s="11">
        <v>50.04</v>
      </c>
      <c r="I502" s="11">
        <v>500.4</v>
      </c>
      <c r="J502" s="11">
        <v>249.26</v>
      </c>
      <c r="K502" s="11">
        <v>251.14</v>
      </c>
      <c r="L502" s="8">
        <v>2026</v>
      </c>
      <c r="M502" s="8" t="s">
        <v>69</v>
      </c>
    </row>
    <row r="503" spans="1:13">
      <c r="A503" s="8" t="s">
        <v>567</v>
      </c>
      <c r="B503" s="9">
        <v>45870</v>
      </c>
      <c r="C503" s="8" t="s">
        <v>34</v>
      </c>
      <c r="D503" s="8" t="s">
        <v>29</v>
      </c>
      <c r="E503" s="8" t="s">
        <v>76</v>
      </c>
      <c r="F503" s="8" t="s">
        <v>45</v>
      </c>
      <c r="G503" s="10">
        <v>1</v>
      </c>
      <c r="H503" s="11">
        <v>12.51</v>
      </c>
      <c r="I503" s="11">
        <v>12.51</v>
      </c>
      <c r="J503" s="11">
        <v>4.8</v>
      </c>
      <c r="K503" s="11">
        <v>7.71</v>
      </c>
      <c r="L503" s="8">
        <v>2025</v>
      </c>
      <c r="M503" s="8" t="s">
        <v>62</v>
      </c>
    </row>
    <row r="504" spans="1:13">
      <c r="A504" s="8" t="s">
        <v>568</v>
      </c>
      <c r="B504" s="9">
        <v>45817</v>
      </c>
      <c r="C504" s="8" t="s">
        <v>34</v>
      </c>
      <c r="D504" s="8" t="s">
        <v>38</v>
      </c>
      <c r="E504" s="8" t="s">
        <v>134</v>
      </c>
      <c r="F504" s="8" t="s">
        <v>40</v>
      </c>
      <c r="G504" s="10">
        <v>2</v>
      </c>
      <c r="H504" s="11">
        <v>290.5</v>
      </c>
      <c r="I504" s="11">
        <v>581</v>
      </c>
      <c r="J504" s="11">
        <v>431.55</v>
      </c>
      <c r="K504" s="11">
        <v>149.44999999999999</v>
      </c>
      <c r="L504" s="8">
        <v>2025</v>
      </c>
      <c r="M504" s="8" t="s">
        <v>54</v>
      </c>
    </row>
    <row r="505" spans="1:13">
      <c r="A505" s="8" t="s">
        <v>569</v>
      </c>
      <c r="B505" s="9">
        <v>45750</v>
      </c>
      <c r="C505" s="8" t="s">
        <v>56</v>
      </c>
      <c r="D505" s="8" t="s">
        <v>38</v>
      </c>
      <c r="E505" s="8" t="s">
        <v>39</v>
      </c>
      <c r="F505" s="8" t="s">
        <v>31</v>
      </c>
      <c r="G505" s="10">
        <v>2</v>
      </c>
      <c r="H505" s="11">
        <v>47.98</v>
      </c>
      <c r="I505" s="11">
        <v>95.96</v>
      </c>
      <c r="J505" s="11">
        <v>44.44</v>
      </c>
      <c r="K505" s="11">
        <v>51.52</v>
      </c>
      <c r="L505" s="8">
        <v>2025</v>
      </c>
      <c r="M505" s="8" t="s">
        <v>46</v>
      </c>
    </row>
    <row r="506" spans="1:13">
      <c r="A506" s="8" t="s">
        <v>570</v>
      </c>
      <c r="B506" s="9">
        <v>45860</v>
      </c>
      <c r="C506" s="8" t="s">
        <v>34</v>
      </c>
      <c r="D506" s="8" t="s">
        <v>38</v>
      </c>
      <c r="E506" s="8" t="s">
        <v>48</v>
      </c>
      <c r="F506" s="8" t="s">
        <v>45</v>
      </c>
      <c r="G506" s="10">
        <v>3</v>
      </c>
      <c r="H506" s="11">
        <v>222.16</v>
      </c>
      <c r="I506" s="11">
        <v>666.48</v>
      </c>
      <c r="J506" s="11">
        <v>419.07</v>
      </c>
      <c r="K506" s="11">
        <v>247.41</v>
      </c>
      <c r="L506" s="8">
        <v>2025</v>
      </c>
      <c r="M506" s="8" t="s">
        <v>69</v>
      </c>
    </row>
    <row r="507" spans="1:13">
      <c r="A507" s="8" t="s">
        <v>571</v>
      </c>
      <c r="B507" s="9">
        <v>46182</v>
      </c>
      <c r="C507" s="8" t="s">
        <v>34</v>
      </c>
      <c r="D507" s="8" t="s">
        <v>38</v>
      </c>
      <c r="E507" s="8" t="s">
        <v>39</v>
      </c>
      <c r="F507" s="8" t="s">
        <v>53</v>
      </c>
      <c r="G507" s="10">
        <v>5</v>
      </c>
      <c r="H507" s="11">
        <v>59.57</v>
      </c>
      <c r="I507" s="11">
        <v>297.85000000000002</v>
      </c>
      <c r="J507" s="11">
        <v>125.79</v>
      </c>
      <c r="K507" s="11">
        <v>172.06</v>
      </c>
      <c r="L507" s="8">
        <v>2026</v>
      </c>
      <c r="M507" s="8" t="s">
        <v>54</v>
      </c>
    </row>
    <row r="508" spans="1:13">
      <c r="A508" s="8" t="s">
        <v>572</v>
      </c>
      <c r="B508" s="9">
        <v>46228</v>
      </c>
      <c r="C508" s="8" t="s">
        <v>56</v>
      </c>
      <c r="D508" s="8" t="s">
        <v>38</v>
      </c>
      <c r="E508" s="8" t="s">
        <v>134</v>
      </c>
      <c r="F508" s="8" t="s">
        <v>45</v>
      </c>
      <c r="G508" s="10">
        <v>4</v>
      </c>
      <c r="H508" s="11">
        <v>359.02</v>
      </c>
      <c r="I508" s="11">
        <v>1436.08</v>
      </c>
      <c r="J508" s="11">
        <v>1080.21</v>
      </c>
      <c r="K508" s="11">
        <v>355.87</v>
      </c>
      <c r="L508" s="8">
        <v>2026</v>
      </c>
      <c r="M508" s="8" t="s">
        <v>69</v>
      </c>
    </row>
    <row r="509" spans="1:13">
      <c r="A509" s="8" t="s">
        <v>573</v>
      </c>
      <c r="B509" s="9">
        <v>46214</v>
      </c>
      <c r="C509" s="8" t="s">
        <v>28</v>
      </c>
      <c r="D509" s="8" t="s">
        <v>43</v>
      </c>
      <c r="E509" s="8" t="s">
        <v>44</v>
      </c>
      <c r="F509" s="8" t="s">
        <v>53</v>
      </c>
      <c r="G509" s="10">
        <v>2</v>
      </c>
      <c r="H509" s="11">
        <v>408.71</v>
      </c>
      <c r="I509" s="11">
        <v>817.42</v>
      </c>
      <c r="J509" s="11">
        <v>521.47</v>
      </c>
      <c r="K509" s="11">
        <v>295.95</v>
      </c>
      <c r="L509" s="8">
        <v>2026</v>
      </c>
      <c r="M509" s="8" t="s">
        <v>69</v>
      </c>
    </row>
    <row r="510" spans="1:13">
      <c r="A510" s="8" t="s">
        <v>574</v>
      </c>
      <c r="B510" s="9">
        <v>45841</v>
      </c>
      <c r="C510" s="8" t="s">
        <v>34</v>
      </c>
      <c r="D510" s="8" t="s">
        <v>29</v>
      </c>
      <c r="E510" s="8" t="s">
        <v>76</v>
      </c>
      <c r="F510" s="8" t="s">
        <v>45</v>
      </c>
      <c r="G510" s="10">
        <v>7</v>
      </c>
      <c r="H510" s="11">
        <v>12.15</v>
      </c>
      <c r="I510" s="11">
        <v>85.05</v>
      </c>
      <c r="J510" s="11">
        <v>27.57</v>
      </c>
      <c r="K510" s="11">
        <v>57.48</v>
      </c>
      <c r="L510" s="8">
        <v>2025</v>
      </c>
      <c r="M510" s="8" t="s">
        <v>69</v>
      </c>
    </row>
    <row r="511" spans="1:13">
      <c r="A511" s="8" t="s">
        <v>575</v>
      </c>
      <c r="B511" s="9">
        <v>46098</v>
      </c>
      <c r="C511" s="8" t="s">
        <v>28</v>
      </c>
      <c r="D511" s="8" t="s">
        <v>29</v>
      </c>
      <c r="E511" s="8" t="s">
        <v>30</v>
      </c>
      <c r="F511" s="8" t="s">
        <v>66</v>
      </c>
      <c r="G511" s="10">
        <v>6</v>
      </c>
      <c r="H511" s="11">
        <v>21.54</v>
      </c>
      <c r="I511" s="11">
        <v>129.24</v>
      </c>
      <c r="J511" s="11">
        <v>53.85</v>
      </c>
      <c r="K511" s="11">
        <v>75.39</v>
      </c>
      <c r="L511" s="8">
        <v>2026</v>
      </c>
      <c r="M511" s="8" t="s">
        <v>77</v>
      </c>
    </row>
    <row r="512" spans="1:13">
      <c r="A512" s="8" t="s">
        <v>576</v>
      </c>
      <c r="B512" s="9">
        <v>45994</v>
      </c>
      <c r="C512" s="8" t="s">
        <v>34</v>
      </c>
      <c r="D512" s="8" t="s">
        <v>29</v>
      </c>
      <c r="E512" s="8" t="s">
        <v>30</v>
      </c>
      <c r="F512" s="8" t="s">
        <v>74</v>
      </c>
      <c r="G512" s="10">
        <v>9</v>
      </c>
      <c r="H512" s="11">
        <v>24.12</v>
      </c>
      <c r="I512" s="11">
        <v>217.08</v>
      </c>
      <c r="J512" s="11">
        <v>90.57</v>
      </c>
      <c r="K512" s="11">
        <v>126.51</v>
      </c>
      <c r="L512" s="8">
        <v>2025</v>
      </c>
      <c r="M512" s="8" t="s">
        <v>32</v>
      </c>
    </row>
    <row r="513" spans="1:13">
      <c r="A513" s="8" t="s">
        <v>577</v>
      </c>
      <c r="B513" s="9">
        <v>45946</v>
      </c>
      <c r="C513" s="8" t="s">
        <v>52</v>
      </c>
      <c r="D513" s="8" t="s">
        <v>43</v>
      </c>
      <c r="E513" s="8" t="s">
        <v>44</v>
      </c>
      <c r="F513" s="8" t="s">
        <v>85</v>
      </c>
      <c r="G513" s="10">
        <v>2</v>
      </c>
      <c r="H513" s="11">
        <v>399.26</v>
      </c>
      <c r="I513" s="11">
        <v>798.52</v>
      </c>
      <c r="J513" s="11">
        <v>474.13</v>
      </c>
      <c r="K513" s="11">
        <v>324.39</v>
      </c>
      <c r="L513" s="8">
        <v>2025</v>
      </c>
      <c r="M513" s="8" t="s">
        <v>58</v>
      </c>
    </row>
    <row r="514" spans="1:13">
      <c r="A514" s="8" t="s">
        <v>578</v>
      </c>
      <c r="B514" s="9">
        <v>45866</v>
      </c>
      <c r="C514" s="8" t="s">
        <v>52</v>
      </c>
      <c r="D514" s="8" t="s">
        <v>29</v>
      </c>
      <c r="E514" s="8" t="s">
        <v>35</v>
      </c>
      <c r="F514" s="8" t="s">
        <v>85</v>
      </c>
      <c r="G514" s="10">
        <v>5</v>
      </c>
      <c r="H514" s="11">
        <v>47.31</v>
      </c>
      <c r="I514" s="11">
        <v>236.55</v>
      </c>
      <c r="J514" s="11">
        <v>112.53</v>
      </c>
      <c r="K514" s="11">
        <v>124.02</v>
      </c>
      <c r="L514" s="8">
        <v>2025</v>
      </c>
      <c r="M514" s="8" t="s">
        <v>69</v>
      </c>
    </row>
    <row r="515" spans="1:13">
      <c r="A515" s="8" t="s">
        <v>579</v>
      </c>
      <c r="B515" s="9">
        <v>46142</v>
      </c>
      <c r="C515" s="8" t="s">
        <v>56</v>
      </c>
      <c r="D515" s="8" t="s">
        <v>38</v>
      </c>
      <c r="E515" s="8" t="s">
        <v>39</v>
      </c>
      <c r="F515" s="8" t="s">
        <v>66</v>
      </c>
      <c r="G515" s="10">
        <v>4</v>
      </c>
      <c r="H515" s="11">
        <v>51.74</v>
      </c>
      <c r="I515" s="11">
        <v>206.96</v>
      </c>
      <c r="J515" s="11">
        <v>87.29</v>
      </c>
      <c r="K515" s="11">
        <v>119.67</v>
      </c>
      <c r="L515" s="8">
        <v>2026</v>
      </c>
      <c r="M515" s="8" t="s">
        <v>46</v>
      </c>
    </row>
    <row r="516" spans="1:13">
      <c r="A516" s="8" t="s">
        <v>580</v>
      </c>
      <c r="B516" s="9">
        <v>45923</v>
      </c>
      <c r="C516" s="8" t="s">
        <v>28</v>
      </c>
      <c r="D516" s="8" t="s">
        <v>38</v>
      </c>
      <c r="E516" s="8" t="s">
        <v>61</v>
      </c>
      <c r="F516" s="8" t="s">
        <v>45</v>
      </c>
      <c r="G516" s="10">
        <v>1</v>
      </c>
      <c r="H516" s="11">
        <v>873.08</v>
      </c>
      <c r="I516" s="11">
        <v>873.08</v>
      </c>
      <c r="J516" s="11">
        <v>695.47</v>
      </c>
      <c r="K516" s="11">
        <v>177.61</v>
      </c>
      <c r="L516" s="8">
        <v>2025</v>
      </c>
      <c r="M516" s="8" t="s">
        <v>98</v>
      </c>
    </row>
    <row r="517" spans="1:13">
      <c r="A517" s="8" t="s">
        <v>581</v>
      </c>
      <c r="B517" s="9">
        <v>45920</v>
      </c>
      <c r="C517" s="8" t="s">
        <v>34</v>
      </c>
      <c r="D517" s="8" t="s">
        <v>43</v>
      </c>
      <c r="E517" s="8" t="s">
        <v>57</v>
      </c>
      <c r="F517" s="8" t="s">
        <v>40</v>
      </c>
      <c r="G517" s="10">
        <v>2</v>
      </c>
      <c r="H517" s="11">
        <v>568.70000000000005</v>
      </c>
      <c r="I517" s="11">
        <v>1137.4000000000001</v>
      </c>
      <c r="J517" s="11">
        <v>690.71</v>
      </c>
      <c r="K517" s="11">
        <v>446.69</v>
      </c>
      <c r="L517" s="8">
        <v>2025</v>
      </c>
      <c r="M517" s="8" t="s">
        <v>98</v>
      </c>
    </row>
    <row r="518" spans="1:13">
      <c r="A518" s="8" t="s">
        <v>582</v>
      </c>
      <c r="B518" s="9">
        <v>46060</v>
      </c>
      <c r="C518" s="8" t="s">
        <v>28</v>
      </c>
      <c r="D518" s="8" t="s">
        <v>43</v>
      </c>
      <c r="E518" s="8" t="s">
        <v>65</v>
      </c>
      <c r="F518" s="8" t="s">
        <v>31</v>
      </c>
      <c r="G518" s="10">
        <v>4</v>
      </c>
      <c r="H518" s="11">
        <v>169.87</v>
      </c>
      <c r="I518" s="11">
        <v>679.48</v>
      </c>
      <c r="J518" s="11">
        <v>379.01</v>
      </c>
      <c r="K518" s="11">
        <v>300.47000000000003</v>
      </c>
      <c r="L518" s="8">
        <v>2026</v>
      </c>
      <c r="M518" s="8" t="s">
        <v>83</v>
      </c>
    </row>
    <row r="519" spans="1:13">
      <c r="A519" s="8" t="s">
        <v>583</v>
      </c>
      <c r="B519" s="9">
        <v>45857</v>
      </c>
      <c r="C519" s="8" t="s">
        <v>34</v>
      </c>
      <c r="D519" s="8" t="s">
        <v>43</v>
      </c>
      <c r="E519" s="8" t="s">
        <v>57</v>
      </c>
      <c r="F519" s="8" t="s">
        <v>49</v>
      </c>
      <c r="G519" s="10">
        <v>2</v>
      </c>
      <c r="H519" s="11">
        <v>560.36</v>
      </c>
      <c r="I519" s="11">
        <v>1120.72</v>
      </c>
      <c r="J519" s="11">
        <v>728.8</v>
      </c>
      <c r="K519" s="11">
        <v>391.92</v>
      </c>
      <c r="L519" s="8">
        <v>2025</v>
      </c>
      <c r="M519" s="8" t="s">
        <v>69</v>
      </c>
    </row>
    <row r="520" spans="1:13">
      <c r="A520" s="8" t="s">
        <v>584</v>
      </c>
      <c r="B520" s="9">
        <v>45775</v>
      </c>
      <c r="C520" s="8" t="s">
        <v>28</v>
      </c>
      <c r="D520" s="8" t="s">
        <v>38</v>
      </c>
      <c r="E520" s="8" t="s">
        <v>134</v>
      </c>
      <c r="F520" s="8" t="s">
        <v>31</v>
      </c>
      <c r="G520" s="10">
        <v>1</v>
      </c>
      <c r="H520" s="11">
        <v>313.83</v>
      </c>
      <c r="I520" s="11">
        <v>313.83</v>
      </c>
      <c r="J520" s="11">
        <v>226.67</v>
      </c>
      <c r="K520" s="11">
        <v>87.16</v>
      </c>
      <c r="L520" s="8">
        <v>2025</v>
      </c>
      <c r="M520" s="8" t="s">
        <v>46</v>
      </c>
    </row>
    <row r="521" spans="1:13">
      <c r="A521" s="8" t="s">
        <v>585</v>
      </c>
      <c r="B521" s="9">
        <v>46017</v>
      </c>
      <c r="C521" s="8" t="s">
        <v>28</v>
      </c>
      <c r="D521" s="8" t="s">
        <v>29</v>
      </c>
      <c r="E521" s="8" t="s">
        <v>35</v>
      </c>
      <c r="F521" s="8" t="s">
        <v>31</v>
      </c>
      <c r="G521" s="10">
        <v>7</v>
      </c>
      <c r="H521" s="11">
        <v>39.380000000000003</v>
      </c>
      <c r="I521" s="11">
        <v>275.66000000000003</v>
      </c>
      <c r="J521" s="11">
        <v>122.07</v>
      </c>
      <c r="K521" s="11">
        <v>153.59</v>
      </c>
      <c r="L521" s="8">
        <v>2025</v>
      </c>
      <c r="M521" s="8" t="s">
        <v>32</v>
      </c>
    </row>
    <row r="522" spans="1:13">
      <c r="A522" s="8" t="s">
        <v>586</v>
      </c>
      <c r="B522" s="9">
        <v>46021</v>
      </c>
      <c r="C522" s="8" t="s">
        <v>34</v>
      </c>
      <c r="D522" s="8" t="s">
        <v>38</v>
      </c>
      <c r="E522" s="8" t="s">
        <v>134</v>
      </c>
      <c r="F522" s="8" t="s">
        <v>45</v>
      </c>
      <c r="G522" s="10">
        <v>1</v>
      </c>
      <c r="H522" s="11">
        <v>311.18</v>
      </c>
      <c r="I522" s="11">
        <v>311.18</v>
      </c>
      <c r="J522" s="11">
        <v>228.11</v>
      </c>
      <c r="K522" s="11">
        <v>83.07</v>
      </c>
      <c r="L522" s="8">
        <v>2025</v>
      </c>
      <c r="M522" s="8" t="s">
        <v>32</v>
      </c>
    </row>
    <row r="523" spans="1:13">
      <c r="A523" s="8" t="s">
        <v>587</v>
      </c>
      <c r="B523" s="9">
        <v>45752</v>
      </c>
      <c r="C523" s="8" t="s">
        <v>52</v>
      </c>
      <c r="D523" s="8" t="s">
        <v>38</v>
      </c>
      <c r="E523" s="8" t="s">
        <v>134</v>
      </c>
      <c r="F523" s="8" t="s">
        <v>40</v>
      </c>
      <c r="G523" s="10">
        <v>3</v>
      </c>
      <c r="H523" s="11">
        <v>311.38</v>
      </c>
      <c r="I523" s="11">
        <v>934.14</v>
      </c>
      <c r="J523" s="11">
        <v>656.47</v>
      </c>
      <c r="K523" s="11">
        <v>277.67</v>
      </c>
      <c r="L523" s="8">
        <v>2025</v>
      </c>
      <c r="M523" s="8" t="s">
        <v>46</v>
      </c>
    </row>
    <row r="524" spans="1:13">
      <c r="A524" s="8" t="s">
        <v>588</v>
      </c>
      <c r="B524" s="9">
        <v>46094</v>
      </c>
      <c r="C524" s="8" t="s">
        <v>52</v>
      </c>
      <c r="D524" s="8" t="s">
        <v>38</v>
      </c>
      <c r="E524" s="8" t="s">
        <v>48</v>
      </c>
      <c r="F524" s="8" t="s">
        <v>74</v>
      </c>
      <c r="G524" s="10">
        <v>1</v>
      </c>
      <c r="H524" s="11">
        <v>217.68</v>
      </c>
      <c r="I524" s="11">
        <v>217.68</v>
      </c>
      <c r="J524" s="11">
        <v>134.16</v>
      </c>
      <c r="K524" s="11">
        <v>83.52</v>
      </c>
      <c r="L524" s="8">
        <v>2026</v>
      </c>
      <c r="M524" s="8" t="s">
        <v>77</v>
      </c>
    </row>
    <row r="525" spans="1:13">
      <c r="A525" s="8" t="s">
        <v>589</v>
      </c>
      <c r="B525" s="9">
        <v>46121</v>
      </c>
      <c r="C525" s="8" t="s">
        <v>34</v>
      </c>
      <c r="D525" s="8" t="s">
        <v>29</v>
      </c>
      <c r="E525" s="8" t="s">
        <v>76</v>
      </c>
      <c r="F525" s="8" t="s">
        <v>49</v>
      </c>
      <c r="G525" s="10">
        <v>12</v>
      </c>
      <c r="H525" s="11">
        <v>12.74</v>
      </c>
      <c r="I525" s="11">
        <v>152.88</v>
      </c>
      <c r="J525" s="11">
        <v>60.71</v>
      </c>
      <c r="K525" s="11">
        <v>92.17</v>
      </c>
      <c r="L525" s="8">
        <v>2026</v>
      </c>
      <c r="M525" s="8" t="s">
        <v>46</v>
      </c>
    </row>
    <row r="526" spans="1:13">
      <c r="A526" s="8" t="s">
        <v>590</v>
      </c>
      <c r="B526" s="9">
        <v>45709</v>
      </c>
      <c r="C526" s="8" t="s">
        <v>28</v>
      </c>
      <c r="D526" s="8" t="s">
        <v>29</v>
      </c>
      <c r="E526" s="8" t="s">
        <v>76</v>
      </c>
      <c r="F526" s="8" t="s">
        <v>85</v>
      </c>
      <c r="G526" s="10">
        <v>8</v>
      </c>
      <c r="H526" s="11">
        <v>11.23</v>
      </c>
      <c r="I526" s="11">
        <v>89.84</v>
      </c>
      <c r="J526" s="11">
        <v>31.91</v>
      </c>
      <c r="K526" s="11">
        <v>57.93</v>
      </c>
      <c r="L526" s="8">
        <v>2025</v>
      </c>
      <c r="M526" s="8" t="s">
        <v>83</v>
      </c>
    </row>
    <row r="527" spans="1:13">
      <c r="A527" s="8" t="s">
        <v>591</v>
      </c>
      <c r="B527" s="9">
        <v>46057</v>
      </c>
      <c r="C527" s="8" t="s">
        <v>56</v>
      </c>
      <c r="D527" s="8" t="s">
        <v>29</v>
      </c>
      <c r="E527" s="8" t="s">
        <v>35</v>
      </c>
      <c r="F527" s="8" t="s">
        <v>85</v>
      </c>
      <c r="G527" s="10">
        <v>7</v>
      </c>
      <c r="H527" s="11">
        <v>50.13</v>
      </c>
      <c r="I527" s="11">
        <v>350.91</v>
      </c>
      <c r="J527" s="11">
        <v>150.97999999999999</v>
      </c>
      <c r="K527" s="11">
        <v>199.93</v>
      </c>
      <c r="L527" s="8">
        <v>2026</v>
      </c>
      <c r="M527" s="8" t="s">
        <v>83</v>
      </c>
    </row>
    <row r="528" spans="1:13">
      <c r="A528" s="8" t="s">
        <v>592</v>
      </c>
      <c r="B528" s="9">
        <v>45969</v>
      </c>
      <c r="C528" s="8" t="s">
        <v>56</v>
      </c>
      <c r="D528" s="8" t="s">
        <v>29</v>
      </c>
      <c r="E528" s="8" t="s">
        <v>35</v>
      </c>
      <c r="F528" s="8" t="s">
        <v>53</v>
      </c>
      <c r="G528" s="10">
        <v>3</v>
      </c>
      <c r="H528" s="11">
        <v>44.75</v>
      </c>
      <c r="I528" s="11">
        <v>134.25</v>
      </c>
      <c r="J528" s="11">
        <v>59.92</v>
      </c>
      <c r="K528" s="11">
        <v>74.33</v>
      </c>
      <c r="L528" s="8">
        <v>2025</v>
      </c>
      <c r="M528" s="8" t="s">
        <v>41</v>
      </c>
    </row>
    <row r="529" spans="1:13">
      <c r="A529" s="8" t="s">
        <v>593</v>
      </c>
      <c r="B529" s="9">
        <v>45704</v>
      </c>
      <c r="C529" s="8" t="s">
        <v>56</v>
      </c>
      <c r="D529" s="8" t="s">
        <v>29</v>
      </c>
      <c r="E529" s="8" t="s">
        <v>116</v>
      </c>
      <c r="F529" s="8" t="s">
        <v>74</v>
      </c>
      <c r="G529" s="10">
        <v>10</v>
      </c>
      <c r="H529" s="11">
        <v>15.72</v>
      </c>
      <c r="I529" s="11">
        <v>157.19999999999999</v>
      </c>
      <c r="J529" s="11">
        <v>55.89</v>
      </c>
      <c r="K529" s="11">
        <v>101.31</v>
      </c>
      <c r="L529" s="8">
        <v>2025</v>
      </c>
      <c r="M529" s="8" t="s">
        <v>83</v>
      </c>
    </row>
    <row r="530" spans="1:13">
      <c r="A530" s="8" t="s">
        <v>594</v>
      </c>
      <c r="B530" s="9">
        <v>45982</v>
      </c>
      <c r="C530" s="8" t="s">
        <v>34</v>
      </c>
      <c r="D530" s="8" t="s">
        <v>43</v>
      </c>
      <c r="E530" s="8" t="s">
        <v>44</v>
      </c>
      <c r="F530" s="8" t="s">
        <v>45</v>
      </c>
      <c r="G530" s="10">
        <v>5</v>
      </c>
      <c r="H530" s="11">
        <v>470.56</v>
      </c>
      <c r="I530" s="11">
        <v>2352.8000000000002</v>
      </c>
      <c r="J530" s="11">
        <v>1522.7</v>
      </c>
      <c r="K530" s="11">
        <v>830.1</v>
      </c>
      <c r="L530" s="8">
        <v>2025</v>
      </c>
      <c r="M530" s="8" t="s">
        <v>41</v>
      </c>
    </row>
    <row r="531" spans="1:13">
      <c r="A531" s="8" t="s">
        <v>595</v>
      </c>
      <c r="B531" s="9">
        <v>45696</v>
      </c>
      <c r="C531" s="8" t="s">
        <v>28</v>
      </c>
      <c r="D531" s="8" t="s">
        <v>43</v>
      </c>
      <c r="E531" s="8" t="s">
        <v>44</v>
      </c>
      <c r="F531" s="8" t="s">
        <v>74</v>
      </c>
      <c r="G531" s="10">
        <v>2</v>
      </c>
      <c r="H531" s="11">
        <v>365.46</v>
      </c>
      <c r="I531" s="11">
        <v>730.92</v>
      </c>
      <c r="J531" s="11">
        <v>477.34</v>
      </c>
      <c r="K531" s="11">
        <v>253.58</v>
      </c>
      <c r="L531" s="8">
        <v>2025</v>
      </c>
      <c r="M531" s="8" t="s">
        <v>83</v>
      </c>
    </row>
    <row r="532" spans="1:13">
      <c r="A532" s="8" t="s">
        <v>596</v>
      </c>
      <c r="B532" s="9">
        <v>46185</v>
      </c>
      <c r="C532" s="8" t="s">
        <v>34</v>
      </c>
      <c r="D532" s="8" t="s">
        <v>38</v>
      </c>
      <c r="E532" s="8" t="s">
        <v>61</v>
      </c>
      <c r="F532" s="8" t="s">
        <v>40</v>
      </c>
      <c r="G532" s="10">
        <v>2</v>
      </c>
      <c r="H532" s="11">
        <v>1077.08</v>
      </c>
      <c r="I532" s="11">
        <v>2154.16</v>
      </c>
      <c r="J532" s="11">
        <v>1656.07</v>
      </c>
      <c r="K532" s="11">
        <v>498.09</v>
      </c>
      <c r="L532" s="8">
        <v>2026</v>
      </c>
      <c r="M532" s="8" t="s">
        <v>54</v>
      </c>
    </row>
    <row r="533" spans="1:13">
      <c r="A533" s="8" t="s">
        <v>597</v>
      </c>
      <c r="B533" s="9">
        <v>45691</v>
      </c>
      <c r="C533" s="8" t="s">
        <v>34</v>
      </c>
      <c r="D533" s="8" t="s">
        <v>38</v>
      </c>
      <c r="E533" s="8" t="s">
        <v>39</v>
      </c>
      <c r="F533" s="8" t="s">
        <v>85</v>
      </c>
      <c r="G533" s="10">
        <v>2</v>
      </c>
      <c r="H533" s="11">
        <v>48.62</v>
      </c>
      <c r="I533" s="11">
        <v>97.24</v>
      </c>
      <c r="J533" s="11">
        <v>43.18</v>
      </c>
      <c r="K533" s="11">
        <v>54.06</v>
      </c>
      <c r="L533" s="8">
        <v>2025</v>
      </c>
      <c r="M533" s="8" t="s">
        <v>83</v>
      </c>
    </row>
    <row r="534" spans="1:13">
      <c r="A534" s="8" t="s">
        <v>598</v>
      </c>
      <c r="B534" s="9">
        <v>46147</v>
      </c>
      <c r="C534" s="8" t="s">
        <v>34</v>
      </c>
      <c r="D534" s="8" t="s">
        <v>29</v>
      </c>
      <c r="E534" s="8" t="s">
        <v>116</v>
      </c>
      <c r="F534" s="8" t="s">
        <v>40</v>
      </c>
      <c r="G534" s="10">
        <v>2</v>
      </c>
      <c r="H534" s="11">
        <v>17.850000000000001</v>
      </c>
      <c r="I534" s="11">
        <v>35.700000000000003</v>
      </c>
      <c r="J534" s="11">
        <v>13</v>
      </c>
      <c r="K534" s="11">
        <v>22.7</v>
      </c>
      <c r="L534" s="8">
        <v>2026</v>
      </c>
      <c r="M534" s="8" t="s">
        <v>50</v>
      </c>
    </row>
    <row r="535" spans="1:13">
      <c r="A535" s="8" t="s">
        <v>599</v>
      </c>
      <c r="B535" s="9">
        <v>46245</v>
      </c>
      <c r="C535" s="8" t="s">
        <v>28</v>
      </c>
      <c r="D535" s="8" t="s">
        <v>29</v>
      </c>
      <c r="E535" s="8" t="s">
        <v>76</v>
      </c>
      <c r="F535" s="8" t="s">
        <v>40</v>
      </c>
      <c r="G535" s="10">
        <v>3</v>
      </c>
      <c r="H535" s="11">
        <v>12.99</v>
      </c>
      <c r="I535" s="11">
        <v>38.97</v>
      </c>
      <c r="J535" s="11">
        <v>14.77</v>
      </c>
      <c r="K535" s="11">
        <v>24.2</v>
      </c>
      <c r="L535" s="8">
        <v>2026</v>
      </c>
      <c r="M535" s="8" t="s">
        <v>62</v>
      </c>
    </row>
    <row r="536" spans="1:13">
      <c r="A536" s="8" t="s">
        <v>600</v>
      </c>
      <c r="B536" s="9">
        <v>46071</v>
      </c>
      <c r="C536" s="8" t="s">
        <v>34</v>
      </c>
      <c r="D536" s="8" t="s">
        <v>43</v>
      </c>
      <c r="E536" s="8" t="s">
        <v>44</v>
      </c>
      <c r="F536" s="8" t="s">
        <v>74</v>
      </c>
      <c r="G536" s="10">
        <v>5</v>
      </c>
      <c r="H536" s="11">
        <v>408.71</v>
      </c>
      <c r="I536" s="11">
        <v>2043.55</v>
      </c>
      <c r="J536" s="11">
        <v>1243.4000000000001</v>
      </c>
      <c r="K536" s="11">
        <v>800.15</v>
      </c>
      <c r="L536" s="8">
        <v>2026</v>
      </c>
      <c r="M536" s="8" t="s">
        <v>83</v>
      </c>
    </row>
    <row r="537" spans="1:13">
      <c r="A537" s="8" t="s">
        <v>601</v>
      </c>
      <c r="B537" s="9">
        <v>46216</v>
      </c>
      <c r="C537" s="8" t="s">
        <v>28</v>
      </c>
      <c r="D537" s="8" t="s">
        <v>38</v>
      </c>
      <c r="E537" s="8" t="s">
        <v>61</v>
      </c>
      <c r="F537" s="8" t="s">
        <v>74</v>
      </c>
      <c r="G537" s="10">
        <v>3</v>
      </c>
      <c r="H537" s="11">
        <v>893.59</v>
      </c>
      <c r="I537" s="11">
        <v>2680.77</v>
      </c>
      <c r="J537" s="11">
        <v>2144.42</v>
      </c>
      <c r="K537" s="11">
        <v>536.35</v>
      </c>
      <c r="L537" s="8">
        <v>2026</v>
      </c>
      <c r="M537" s="8" t="s">
        <v>69</v>
      </c>
    </row>
    <row r="538" spans="1:13">
      <c r="A538" s="8" t="s">
        <v>602</v>
      </c>
      <c r="B538" s="9">
        <v>45795</v>
      </c>
      <c r="C538" s="8" t="s">
        <v>56</v>
      </c>
      <c r="D538" s="8" t="s">
        <v>29</v>
      </c>
      <c r="E538" s="8" t="s">
        <v>76</v>
      </c>
      <c r="F538" s="8" t="s">
        <v>45</v>
      </c>
      <c r="G538" s="10">
        <v>8</v>
      </c>
      <c r="H538" s="11">
        <v>11.15</v>
      </c>
      <c r="I538" s="11">
        <v>89.2</v>
      </c>
      <c r="J538" s="11">
        <v>32.049999999999997</v>
      </c>
      <c r="K538" s="11">
        <v>57.15</v>
      </c>
      <c r="L538" s="8">
        <v>2025</v>
      </c>
      <c r="M538" s="8" t="s">
        <v>50</v>
      </c>
    </row>
    <row r="539" spans="1:13">
      <c r="A539" s="8" t="s">
        <v>603</v>
      </c>
      <c r="B539" s="9">
        <v>45756</v>
      </c>
      <c r="C539" s="8" t="s">
        <v>52</v>
      </c>
      <c r="D539" s="8" t="s">
        <v>29</v>
      </c>
      <c r="E539" s="8" t="s">
        <v>116</v>
      </c>
      <c r="F539" s="8" t="s">
        <v>53</v>
      </c>
      <c r="G539" s="10">
        <v>9</v>
      </c>
      <c r="H539" s="11">
        <v>15.67</v>
      </c>
      <c r="I539" s="11">
        <v>141.03</v>
      </c>
      <c r="J539" s="11">
        <v>58.59</v>
      </c>
      <c r="K539" s="11">
        <v>82.44</v>
      </c>
      <c r="L539" s="8">
        <v>2025</v>
      </c>
      <c r="M539" s="8" t="s">
        <v>46</v>
      </c>
    </row>
    <row r="540" spans="1:13">
      <c r="A540" s="8" t="s">
        <v>604</v>
      </c>
      <c r="B540" s="9">
        <v>46263</v>
      </c>
      <c r="C540" s="8" t="s">
        <v>28</v>
      </c>
      <c r="D540" s="8" t="s">
        <v>43</v>
      </c>
      <c r="E540" s="8" t="s">
        <v>65</v>
      </c>
      <c r="F540" s="8" t="s">
        <v>85</v>
      </c>
      <c r="G540" s="10">
        <v>2</v>
      </c>
      <c r="H540" s="11">
        <v>163.07</v>
      </c>
      <c r="I540" s="11">
        <v>326.14</v>
      </c>
      <c r="J540" s="11">
        <v>183.66</v>
      </c>
      <c r="K540" s="11">
        <v>142.47999999999999</v>
      </c>
      <c r="L540" s="8">
        <v>2026</v>
      </c>
      <c r="M540" s="8" t="s">
        <v>62</v>
      </c>
    </row>
    <row r="541" spans="1:13">
      <c r="A541" s="8" t="s">
        <v>605</v>
      </c>
      <c r="B541" s="9">
        <v>46178</v>
      </c>
      <c r="C541" s="8" t="s">
        <v>56</v>
      </c>
      <c r="D541" s="8" t="s">
        <v>29</v>
      </c>
      <c r="E541" s="8" t="s">
        <v>35</v>
      </c>
      <c r="F541" s="8" t="s">
        <v>74</v>
      </c>
      <c r="G541" s="10">
        <v>10</v>
      </c>
      <c r="H541" s="11">
        <v>40.43</v>
      </c>
      <c r="I541" s="11">
        <v>404.3</v>
      </c>
      <c r="J541" s="11">
        <v>180.24</v>
      </c>
      <c r="K541" s="11">
        <v>224.06</v>
      </c>
      <c r="L541" s="8">
        <v>2026</v>
      </c>
      <c r="M541" s="8" t="s">
        <v>54</v>
      </c>
    </row>
    <row r="542" spans="1:13">
      <c r="A542" s="8" t="s">
        <v>606</v>
      </c>
      <c r="B542" s="9">
        <v>46124</v>
      </c>
      <c r="C542" s="8" t="s">
        <v>56</v>
      </c>
      <c r="D542" s="8" t="s">
        <v>43</v>
      </c>
      <c r="E542" s="8" t="s">
        <v>94</v>
      </c>
      <c r="F542" s="8" t="s">
        <v>74</v>
      </c>
      <c r="G542" s="10">
        <v>2</v>
      </c>
      <c r="H542" s="11">
        <v>262.45999999999998</v>
      </c>
      <c r="I542" s="11">
        <v>524.91999999999996</v>
      </c>
      <c r="J542" s="11">
        <v>326.42</v>
      </c>
      <c r="K542" s="11">
        <v>198.5</v>
      </c>
      <c r="L542" s="8">
        <v>2026</v>
      </c>
      <c r="M542" s="8" t="s">
        <v>46</v>
      </c>
    </row>
    <row r="543" spans="1:13">
      <c r="A543" s="8" t="s">
        <v>607</v>
      </c>
      <c r="B543" s="9">
        <v>45762</v>
      </c>
      <c r="C543" s="8" t="s">
        <v>56</v>
      </c>
      <c r="D543" s="8" t="s">
        <v>38</v>
      </c>
      <c r="E543" s="8" t="s">
        <v>39</v>
      </c>
      <c r="F543" s="8" t="s">
        <v>40</v>
      </c>
      <c r="G543" s="10">
        <v>3</v>
      </c>
      <c r="H543" s="11">
        <v>61.25</v>
      </c>
      <c r="I543" s="11">
        <v>183.75</v>
      </c>
      <c r="J543" s="11">
        <v>78.66</v>
      </c>
      <c r="K543" s="11">
        <v>105.09</v>
      </c>
      <c r="L543" s="8">
        <v>2025</v>
      </c>
      <c r="M543" s="8" t="s">
        <v>46</v>
      </c>
    </row>
    <row r="544" spans="1:13">
      <c r="A544" s="8" t="s">
        <v>608</v>
      </c>
      <c r="B544" s="9">
        <v>45978</v>
      </c>
      <c r="C544" s="8" t="s">
        <v>28</v>
      </c>
      <c r="D544" s="8" t="s">
        <v>38</v>
      </c>
      <c r="E544" s="8" t="s">
        <v>61</v>
      </c>
      <c r="F544" s="8" t="s">
        <v>40</v>
      </c>
      <c r="G544" s="10">
        <v>5</v>
      </c>
      <c r="H544" s="11">
        <v>1063.47</v>
      </c>
      <c r="I544" s="11">
        <v>5317.35</v>
      </c>
      <c r="J544" s="11">
        <v>4051.77</v>
      </c>
      <c r="K544" s="11">
        <v>1265.58</v>
      </c>
      <c r="L544" s="8">
        <v>2025</v>
      </c>
      <c r="M544" s="8" t="s">
        <v>41</v>
      </c>
    </row>
    <row r="545" spans="1:13">
      <c r="A545" s="8" t="s">
        <v>609</v>
      </c>
      <c r="B545" s="9">
        <v>45815</v>
      </c>
      <c r="C545" s="8" t="s">
        <v>52</v>
      </c>
      <c r="D545" s="8" t="s">
        <v>29</v>
      </c>
      <c r="E545" s="8" t="s">
        <v>30</v>
      </c>
      <c r="F545" s="8" t="s">
        <v>49</v>
      </c>
      <c r="G545" s="10">
        <v>12</v>
      </c>
      <c r="H545" s="11">
        <v>24.88</v>
      </c>
      <c r="I545" s="11">
        <v>298.56</v>
      </c>
      <c r="J545" s="11">
        <v>122.36</v>
      </c>
      <c r="K545" s="11">
        <v>176.2</v>
      </c>
      <c r="L545" s="8">
        <v>2025</v>
      </c>
      <c r="M545" s="8" t="s">
        <v>54</v>
      </c>
    </row>
    <row r="546" spans="1:13">
      <c r="A546" s="8" t="s">
        <v>610</v>
      </c>
      <c r="B546" s="9">
        <v>46182</v>
      </c>
      <c r="C546" s="8" t="s">
        <v>34</v>
      </c>
      <c r="D546" s="8" t="s">
        <v>29</v>
      </c>
      <c r="E546" s="8" t="s">
        <v>35</v>
      </c>
      <c r="F546" s="8" t="s">
        <v>66</v>
      </c>
      <c r="G546" s="10">
        <v>12</v>
      </c>
      <c r="H546" s="11">
        <v>43.18</v>
      </c>
      <c r="I546" s="11">
        <v>518.16</v>
      </c>
      <c r="J546" s="11">
        <v>256.75</v>
      </c>
      <c r="K546" s="11">
        <v>261.41000000000003</v>
      </c>
      <c r="L546" s="8">
        <v>2026</v>
      </c>
      <c r="M546" s="8" t="s">
        <v>54</v>
      </c>
    </row>
    <row r="547" spans="1:13">
      <c r="A547" s="8" t="s">
        <v>611</v>
      </c>
      <c r="B547" s="9">
        <v>45685</v>
      </c>
      <c r="C547" s="8" t="s">
        <v>52</v>
      </c>
      <c r="D547" s="8" t="s">
        <v>43</v>
      </c>
      <c r="E547" s="8" t="s">
        <v>94</v>
      </c>
      <c r="F547" s="8" t="s">
        <v>45</v>
      </c>
      <c r="G547" s="10">
        <v>4</v>
      </c>
      <c r="H547" s="11">
        <v>268.85000000000002</v>
      </c>
      <c r="I547" s="11">
        <v>1075.4000000000001</v>
      </c>
      <c r="J547" s="11">
        <v>636.20000000000005</v>
      </c>
      <c r="K547" s="11">
        <v>439.2</v>
      </c>
      <c r="L547" s="8">
        <v>2025</v>
      </c>
      <c r="M547" s="8" t="s">
        <v>36</v>
      </c>
    </row>
    <row r="548" spans="1:13">
      <c r="A548" s="8" t="s">
        <v>612</v>
      </c>
      <c r="B548" s="9">
        <v>46100</v>
      </c>
      <c r="C548" s="8" t="s">
        <v>28</v>
      </c>
      <c r="D548" s="8" t="s">
        <v>43</v>
      </c>
      <c r="E548" s="8" t="s">
        <v>94</v>
      </c>
      <c r="F548" s="8" t="s">
        <v>74</v>
      </c>
      <c r="G548" s="10">
        <v>5</v>
      </c>
      <c r="H548" s="11">
        <v>298.58</v>
      </c>
      <c r="I548" s="11">
        <v>1492.9</v>
      </c>
      <c r="J548" s="11">
        <v>830.93</v>
      </c>
      <c r="K548" s="11">
        <v>661.97</v>
      </c>
      <c r="L548" s="8">
        <v>2026</v>
      </c>
      <c r="M548" s="8" t="s">
        <v>77</v>
      </c>
    </row>
    <row r="549" spans="1:13">
      <c r="A549" s="8" t="s">
        <v>613</v>
      </c>
      <c r="B549" s="9">
        <v>45737</v>
      </c>
      <c r="C549" s="8" t="s">
        <v>52</v>
      </c>
      <c r="D549" s="8" t="s">
        <v>29</v>
      </c>
      <c r="E549" s="8" t="s">
        <v>116</v>
      </c>
      <c r="F549" s="8" t="s">
        <v>53</v>
      </c>
      <c r="G549" s="10">
        <v>4</v>
      </c>
      <c r="H549" s="11">
        <v>17.89</v>
      </c>
      <c r="I549" s="11">
        <v>71.56</v>
      </c>
      <c r="J549" s="11">
        <v>29.11</v>
      </c>
      <c r="K549" s="11">
        <v>42.45</v>
      </c>
      <c r="L549" s="8">
        <v>2025</v>
      </c>
      <c r="M549" s="8" t="s">
        <v>77</v>
      </c>
    </row>
    <row r="550" spans="1:13">
      <c r="A550" s="8" t="s">
        <v>614</v>
      </c>
      <c r="B550" s="9">
        <v>45964</v>
      </c>
      <c r="C550" s="8" t="s">
        <v>28</v>
      </c>
      <c r="D550" s="8" t="s">
        <v>43</v>
      </c>
      <c r="E550" s="8" t="s">
        <v>44</v>
      </c>
      <c r="F550" s="8" t="s">
        <v>31</v>
      </c>
      <c r="G550" s="10">
        <v>1</v>
      </c>
      <c r="H550" s="11">
        <v>444.5</v>
      </c>
      <c r="I550" s="11">
        <v>444.5</v>
      </c>
      <c r="J550" s="11">
        <v>269.73</v>
      </c>
      <c r="K550" s="11">
        <v>174.77</v>
      </c>
      <c r="L550" s="8">
        <v>2025</v>
      </c>
      <c r="M550" s="8" t="s">
        <v>41</v>
      </c>
    </row>
    <row r="551" spans="1:13">
      <c r="A551" s="8" t="s">
        <v>615</v>
      </c>
      <c r="B551" s="9">
        <v>45855</v>
      </c>
      <c r="C551" s="8" t="s">
        <v>34</v>
      </c>
      <c r="D551" s="8" t="s">
        <v>43</v>
      </c>
      <c r="E551" s="8" t="s">
        <v>57</v>
      </c>
      <c r="F551" s="8" t="s">
        <v>31</v>
      </c>
      <c r="G551" s="10">
        <v>2</v>
      </c>
      <c r="H551" s="11">
        <v>485.9</v>
      </c>
      <c r="I551" s="11">
        <v>971.8</v>
      </c>
      <c r="J551" s="11">
        <v>655.33000000000004</v>
      </c>
      <c r="K551" s="11">
        <v>316.47000000000003</v>
      </c>
      <c r="L551" s="8">
        <v>2025</v>
      </c>
      <c r="M551" s="8" t="s">
        <v>69</v>
      </c>
    </row>
    <row r="552" spans="1:13">
      <c r="A552" s="8" t="s">
        <v>616</v>
      </c>
      <c r="B552" s="9">
        <v>45781</v>
      </c>
      <c r="C552" s="8" t="s">
        <v>56</v>
      </c>
      <c r="D552" s="8" t="s">
        <v>43</v>
      </c>
      <c r="E552" s="8" t="s">
        <v>65</v>
      </c>
      <c r="F552" s="8" t="s">
        <v>49</v>
      </c>
      <c r="G552" s="10">
        <v>1</v>
      </c>
      <c r="H552" s="11">
        <v>156.22</v>
      </c>
      <c r="I552" s="11">
        <v>156.22</v>
      </c>
      <c r="J552" s="11">
        <v>87.99</v>
      </c>
      <c r="K552" s="11">
        <v>68.23</v>
      </c>
      <c r="L552" s="8">
        <v>2025</v>
      </c>
      <c r="M552" s="8" t="s">
        <v>50</v>
      </c>
    </row>
    <row r="553" spans="1:13">
      <c r="A553" s="8" t="s">
        <v>617</v>
      </c>
      <c r="B553" s="9">
        <v>45769</v>
      </c>
      <c r="C553" s="8" t="s">
        <v>56</v>
      </c>
      <c r="D553" s="8" t="s">
        <v>29</v>
      </c>
      <c r="E553" s="8" t="s">
        <v>30</v>
      </c>
      <c r="F553" s="8" t="s">
        <v>40</v>
      </c>
      <c r="G553" s="10">
        <v>10</v>
      </c>
      <c r="H553" s="11">
        <v>22.88</v>
      </c>
      <c r="I553" s="11">
        <v>228.8</v>
      </c>
      <c r="J553" s="11">
        <v>103.59</v>
      </c>
      <c r="K553" s="11">
        <v>125.21</v>
      </c>
      <c r="L553" s="8">
        <v>2025</v>
      </c>
      <c r="M553" s="8" t="s">
        <v>46</v>
      </c>
    </row>
    <row r="554" spans="1:13">
      <c r="A554" s="8" t="s">
        <v>618</v>
      </c>
      <c r="B554" s="9">
        <v>45982</v>
      </c>
      <c r="C554" s="8" t="s">
        <v>34</v>
      </c>
      <c r="D554" s="8" t="s">
        <v>43</v>
      </c>
      <c r="E554" s="8" t="s">
        <v>57</v>
      </c>
      <c r="F554" s="8" t="s">
        <v>49</v>
      </c>
      <c r="G554" s="10">
        <v>3</v>
      </c>
      <c r="H554" s="11">
        <v>469.32</v>
      </c>
      <c r="I554" s="11">
        <v>1407.96</v>
      </c>
      <c r="J554" s="11">
        <v>916.94</v>
      </c>
      <c r="K554" s="11">
        <v>491.02</v>
      </c>
      <c r="L554" s="8">
        <v>2025</v>
      </c>
      <c r="M554" s="8" t="s">
        <v>41</v>
      </c>
    </row>
    <row r="555" spans="1:13">
      <c r="A555" s="8" t="s">
        <v>619</v>
      </c>
      <c r="B555" s="9">
        <v>45814</v>
      </c>
      <c r="C555" s="8" t="s">
        <v>28</v>
      </c>
      <c r="D555" s="8" t="s">
        <v>38</v>
      </c>
      <c r="E555" s="8" t="s">
        <v>61</v>
      </c>
      <c r="F555" s="8" t="s">
        <v>40</v>
      </c>
      <c r="G555" s="10">
        <v>2</v>
      </c>
      <c r="H555" s="11">
        <v>882.19</v>
      </c>
      <c r="I555" s="11">
        <v>1764.38</v>
      </c>
      <c r="J555" s="11">
        <v>1273.51</v>
      </c>
      <c r="K555" s="11">
        <v>490.87</v>
      </c>
      <c r="L555" s="8">
        <v>2025</v>
      </c>
      <c r="M555" s="8" t="s">
        <v>54</v>
      </c>
    </row>
    <row r="556" spans="1:13">
      <c r="A556" s="8" t="s">
        <v>620</v>
      </c>
      <c r="B556" s="9">
        <v>45966</v>
      </c>
      <c r="C556" s="8" t="s">
        <v>56</v>
      </c>
      <c r="D556" s="8" t="s">
        <v>43</v>
      </c>
      <c r="E556" s="8" t="s">
        <v>44</v>
      </c>
      <c r="F556" s="8" t="s">
        <v>49</v>
      </c>
      <c r="G556" s="10">
        <v>5</v>
      </c>
      <c r="H556" s="11">
        <v>443.14</v>
      </c>
      <c r="I556" s="11">
        <v>2215.6999999999998</v>
      </c>
      <c r="J556" s="11">
        <v>1341.32</v>
      </c>
      <c r="K556" s="11">
        <v>874.38</v>
      </c>
      <c r="L556" s="8">
        <v>2025</v>
      </c>
      <c r="M556" s="8" t="s">
        <v>41</v>
      </c>
    </row>
    <row r="557" spans="1:13">
      <c r="A557" s="8" t="s">
        <v>621</v>
      </c>
      <c r="B557" s="9">
        <v>45858</v>
      </c>
      <c r="C557" s="8" t="s">
        <v>28</v>
      </c>
      <c r="D557" s="8" t="s">
        <v>29</v>
      </c>
      <c r="E557" s="8" t="s">
        <v>35</v>
      </c>
      <c r="F557" s="8" t="s">
        <v>45</v>
      </c>
      <c r="G557" s="10">
        <v>8</v>
      </c>
      <c r="H557" s="11">
        <v>42.89</v>
      </c>
      <c r="I557" s="11">
        <v>343.12</v>
      </c>
      <c r="J557" s="11">
        <v>146.96</v>
      </c>
      <c r="K557" s="11">
        <v>196.16</v>
      </c>
      <c r="L557" s="8">
        <v>2025</v>
      </c>
      <c r="M557" s="8" t="s">
        <v>69</v>
      </c>
    </row>
    <row r="558" spans="1:13">
      <c r="A558" s="8" t="s">
        <v>622</v>
      </c>
      <c r="B558" s="9">
        <v>45863</v>
      </c>
      <c r="C558" s="8" t="s">
        <v>56</v>
      </c>
      <c r="D558" s="8" t="s">
        <v>29</v>
      </c>
      <c r="E558" s="8" t="s">
        <v>76</v>
      </c>
      <c r="F558" s="8" t="s">
        <v>49</v>
      </c>
      <c r="G558" s="10">
        <v>5</v>
      </c>
      <c r="H558" s="11">
        <v>12.02</v>
      </c>
      <c r="I558" s="11">
        <v>60.1</v>
      </c>
      <c r="J558" s="11">
        <v>23.23</v>
      </c>
      <c r="K558" s="11">
        <v>36.869999999999997</v>
      </c>
      <c r="L558" s="8">
        <v>2025</v>
      </c>
      <c r="M558" s="8" t="s">
        <v>69</v>
      </c>
    </row>
    <row r="559" spans="1:13">
      <c r="A559" s="8" t="s">
        <v>623</v>
      </c>
      <c r="B559" s="9">
        <v>46043</v>
      </c>
      <c r="C559" s="8" t="s">
        <v>56</v>
      </c>
      <c r="D559" s="8" t="s">
        <v>29</v>
      </c>
      <c r="E559" s="8" t="s">
        <v>76</v>
      </c>
      <c r="F559" s="8" t="s">
        <v>40</v>
      </c>
      <c r="G559" s="10">
        <v>2</v>
      </c>
      <c r="H559" s="11">
        <v>13.1</v>
      </c>
      <c r="I559" s="11">
        <v>26.2</v>
      </c>
      <c r="J559" s="11">
        <v>8.9700000000000006</v>
      </c>
      <c r="K559" s="11">
        <v>17.23</v>
      </c>
      <c r="L559" s="8">
        <v>2026</v>
      </c>
      <c r="M559" s="8" t="s">
        <v>36</v>
      </c>
    </row>
    <row r="560" spans="1:13">
      <c r="A560" s="8" t="s">
        <v>624</v>
      </c>
      <c r="B560" s="9">
        <v>46040</v>
      </c>
      <c r="C560" s="8" t="s">
        <v>28</v>
      </c>
      <c r="D560" s="8" t="s">
        <v>38</v>
      </c>
      <c r="E560" s="8" t="s">
        <v>134</v>
      </c>
      <c r="F560" s="8" t="s">
        <v>31</v>
      </c>
      <c r="G560" s="10">
        <v>3</v>
      </c>
      <c r="H560" s="11">
        <v>335.14</v>
      </c>
      <c r="I560" s="11">
        <v>1005.42</v>
      </c>
      <c r="J560" s="11">
        <v>708.72</v>
      </c>
      <c r="K560" s="11">
        <v>296.7</v>
      </c>
      <c r="L560" s="8">
        <v>2026</v>
      </c>
      <c r="M560" s="8" t="s">
        <v>36</v>
      </c>
    </row>
    <row r="561" spans="1:13">
      <c r="A561" s="8" t="s">
        <v>625</v>
      </c>
      <c r="B561" s="9">
        <v>46008</v>
      </c>
      <c r="C561" s="8" t="s">
        <v>34</v>
      </c>
      <c r="D561" s="8" t="s">
        <v>38</v>
      </c>
      <c r="E561" s="8" t="s">
        <v>61</v>
      </c>
      <c r="F561" s="8" t="s">
        <v>53</v>
      </c>
      <c r="G561" s="10">
        <v>5</v>
      </c>
      <c r="H561" s="11">
        <v>958.23</v>
      </c>
      <c r="I561" s="11">
        <v>4791.1499999999996</v>
      </c>
      <c r="J561" s="11">
        <v>3702.5</v>
      </c>
      <c r="K561" s="11">
        <v>1088.6500000000001</v>
      </c>
      <c r="L561" s="8">
        <v>2025</v>
      </c>
      <c r="M561" s="8" t="s">
        <v>32</v>
      </c>
    </row>
    <row r="562" spans="1:13">
      <c r="A562" s="8" t="s">
        <v>626</v>
      </c>
      <c r="B562" s="9">
        <v>45855</v>
      </c>
      <c r="C562" s="8" t="s">
        <v>28</v>
      </c>
      <c r="D562" s="8" t="s">
        <v>38</v>
      </c>
      <c r="E562" s="8" t="s">
        <v>48</v>
      </c>
      <c r="F562" s="8" t="s">
        <v>45</v>
      </c>
      <c r="G562" s="10">
        <v>2</v>
      </c>
      <c r="H562" s="11">
        <v>208.73</v>
      </c>
      <c r="I562" s="11">
        <v>417.46</v>
      </c>
      <c r="J562" s="11">
        <v>280.33999999999997</v>
      </c>
      <c r="K562" s="11">
        <v>137.12</v>
      </c>
      <c r="L562" s="8">
        <v>2025</v>
      </c>
      <c r="M562" s="8" t="s">
        <v>69</v>
      </c>
    </row>
    <row r="563" spans="1:13">
      <c r="A563" s="8" t="s">
        <v>627</v>
      </c>
      <c r="B563" s="9">
        <v>46174</v>
      </c>
      <c r="C563" s="8" t="s">
        <v>52</v>
      </c>
      <c r="D563" s="8" t="s">
        <v>29</v>
      </c>
      <c r="E563" s="8" t="s">
        <v>76</v>
      </c>
      <c r="F563" s="8" t="s">
        <v>45</v>
      </c>
      <c r="G563" s="10">
        <v>6</v>
      </c>
      <c r="H563" s="11">
        <v>12.04</v>
      </c>
      <c r="I563" s="11">
        <v>72.239999999999995</v>
      </c>
      <c r="J563" s="11">
        <v>24.47</v>
      </c>
      <c r="K563" s="11">
        <v>47.77</v>
      </c>
      <c r="L563" s="8">
        <v>2026</v>
      </c>
      <c r="M563" s="8" t="s">
        <v>54</v>
      </c>
    </row>
    <row r="564" spans="1:13">
      <c r="A564" s="8" t="s">
        <v>628</v>
      </c>
      <c r="B564" s="9">
        <v>46087</v>
      </c>
      <c r="C564" s="8" t="s">
        <v>56</v>
      </c>
      <c r="D564" s="8" t="s">
        <v>29</v>
      </c>
      <c r="E564" s="8" t="s">
        <v>116</v>
      </c>
      <c r="F564" s="8" t="s">
        <v>49</v>
      </c>
      <c r="G564" s="10">
        <v>2</v>
      </c>
      <c r="H564" s="11">
        <v>18.649999999999999</v>
      </c>
      <c r="I564" s="11">
        <v>37.299999999999997</v>
      </c>
      <c r="J564" s="11">
        <v>15.7</v>
      </c>
      <c r="K564" s="11">
        <v>21.6</v>
      </c>
      <c r="L564" s="8">
        <v>2026</v>
      </c>
      <c r="M564" s="8" t="s">
        <v>77</v>
      </c>
    </row>
    <row r="565" spans="1:13">
      <c r="A565" s="8" t="s">
        <v>629</v>
      </c>
      <c r="B565" s="9">
        <v>45983</v>
      </c>
      <c r="C565" s="8" t="s">
        <v>28</v>
      </c>
      <c r="D565" s="8" t="s">
        <v>43</v>
      </c>
      <c r="E565" s="8" t="s">
        <v>94</v>
      </c>
      <c r="F565" s="8" t="s">
        <v>66</v>
      </c>
      <c r="G565" s="10">
        <v>4</v>
      </c>
      <c r="H565" s="11">
        <v>262.04000000000002</v>
      </c>
      <c r="I565" s="11">
        <v>1048.1600000000001</v>
      </c>
      <c r="J565" s="11">
        <v>591.48</v>
      </c>
      <c r="K565" s="11">
        <v>456.68</v>
      </c>
      <c r="L565" s="8">
        <v>2025</v>
      </c>
      <c r="M565" s="8" t="s">
        <v>41</v>
      </c>
    </row>
    <row r="566" spans="1:13">
      <c r="A566" s="8" t="s">
        <v>630</v>
      </c>
      <c r="B566" s="9">
        <v>46194</v>
      </c>
      <c r="C566" s="8" t="s">
        <v>28</v>
      </c>
      <c r="D566" s="8" t="s">
        <v>29</v>
      </c>
      <c r="E566" s="8" t="s">
        <v>30</v>
      </c>
      <c r="F566" s="8" t="s">
        <v>53</v>
      </c>
      <c r="G566" s="10">
        <v>1</v>
      </c>
      <c r="H566" s="11">
        <v>21.7</v>
      </c>
      <c r="I566" s="11">
        <v>21.7</v>
      </c>
      <c r="J566" s="11">
        <v>9.98</v>
      </c>
      <c r="K566" s="11">
        <v>11.72</v>
      </c>
      <c r="L566" s="8">
        <v>2026</v>
      </c>
      <c r="M566" s="8" t="s">
        <v>54</v>
      </c>
    </row>
    <row r="567" spans="1:13">
      <c r="A567" s="8" t="s">
        <v>631</v>
      </c>
      <c r="B567" s="9">
        <v>45693</v>
      </c>
      <c r="C567" s="8" t="s">
        <v>34</v>
      </c>
      <c r="D567" s="8" t="s">
        <v>29</v>
      </c>
      <c r="E567" s="8" t="s">
        <v>116</v>
      </c>
      <c r="F567" s="8" t="s">
        <v>40</v>
      </c>
      <c r="G567" s="10">
        <v>5</v>
      </c>
      <c r="H567" s="11">
        <v>19.87</v>
      </c>
      <c r="I567" s="11">
        <v>99.35</v>
      </c>
      <c r="J567" s="11">
        <v>39.76</v>
      </c>
      <c r="K567" s="11">
        <v>59.59</v>
      </c>
      <c r="L567" s="8">
        <v>2025</v>
      </c>
      <c r="M567" s="8" t="s">
        <v>83</v>
      </c>
    </row>
    <row r="568" spans="1:13">
      <c r="A568" s="8" t="s">
        <v>632</v>
      </c>
      <c r="B568" s="9">
        <v>46126</v>
      </c>
      <c r="C568" s="8" t="s">
        <v>34</v>
      </c>
      <c r="D568" s="8" t="s">
        <v>29</v>
      </c>
      <c r="E568" s="8" t="s">
        <v>116</v>
      </c>
      <c r="F568" s="8" t="s">
        <v>45</v>
      </c>
      <c r="G568" s="10">
        <v>1</v>
      </c>
      <c r="H568" s="11">
        <v>19.64</v>
      </c>
      <c r="I568" s="11">
        <v>19.64</v>
      </c>
      <c r="J568" s="11">
        <v>7.56</v>
      </c>
      <c r="K568" s="11">
        <v>12.08</v>
      </c>
      <c r="L568" s="8">
        <v>2026</v>
      </c>
      <c r="M568" s="8" t="s">
        <v>46</v>
      </c>
    </row>
    <row r="569" spans="1:13">
      <c r="A569" s="8" t="s">
        <v>633</v>
      </c>
      <c r="B569" s="9">
        <v>45687</v>
      </c>
      <c r="C569" s="8" t="s">
        <v>52</v>
      </c>
      <c r="D569" s="8" t="s">
        <v>38</v>
      </c>
      <c r="E569" s="8" t="s">
        <v>61</v>
      </c>
      <c r="F569" s="8" t="s">
        <v>66</v>
      </c>
      <c r="G569" s="10">
        <v>3</v>
      </c>
      <c r="H569" s="11">
        <v>915.23</v>
      </c>
      <c r="I569" s="11">
        <v>2745.69</v>
      </c>
      <c r="J569" s="11">
        <v>2028.35</v>
      </c>
      <c r="K569" s="11">
        <v>717.34</v>
      </c>
      <c r="L569" s="8">
        <v>2025</v>
      </c>
      <c r="M569" s="8" t="s">
        <v>36</v>
      </c>
    </row>
    <row r="570" spans="1:13">
      <c r="A570" s="8" t="s">
        <v>634</v>
      </c>
      <c r="B570" s="9">
        <v>46103</v>
      </c>
      <c r="C570" s="8" t="s">
        <v>34</v>
      </c>
      <c r="D570" s="8" t="s">
        <v>43</v>
      </c>
      <c r="E570" s="8" t="s">
        <v>57</v>
      </c>
      <c r="F570" s="8" t="s">
        <v>40</v>
      </c>
      <c r="G570" s="10">
        <v>1</v>
      </c>
      <c r="H570" s="11">
        <v>444.98</v>
      </c>
      <c r="I570" s="11">
        <v>444.98</v>
      </c>
      <c r="J570" s="11">
        <v>282.83999999999997</v>
      </c>
      <c r="K570" s="11">
        <v>162.13999999999999</v>
      </c>
      <c r="L570" s="8">
        <v>2026</v>
      </c>
      <c r="M570" s="8" t="s">
        <v>77</v>
      </c>
    </row>
    <row r="571" spans="1:13">
      <c r="A571" s="8" t="s">
        <v>635</v>
      </c>
      <c r="B571" s="9">
        <v>45968</v>
      </c>
      <c r="C571" s="8" t="s">
        <v>56</v>
      </c>
      <c r="D571" s="8" t="s">
        <v>29</v>
      </c>
      <c r="E571" s="8" t="s">
        <v>30</v>
      </c>
      <c r="F571" s="8" t="s">
        <v>53</v>
      </c>
      <c r="G571" s="10">
        <v>12</v>
      </c>
      <c r="H571" s="11">
        <v>27.48</v>
      </c>
      <c r="I571" s="11">
        <v>329.76</v>
      </c>
      <c r="J571" s="11">
        <v>130.87</v>
      </c>
      <c r="K571" s="11">
        <v>198.89</v>
      </c>
      <c r="L571" s="8">
        <v>2025</v>
      </c>
      <c r="M571" s="8" t="s">
        <v>41</v>
      </c>
    </row>
    <row r="572" spans="1:13">
      <c r="A572" s="8" t="s">
        <v>636</v>
      </c>
      <c r="B572" s="9">
        <v>46000</v>
      </c>
      <c r="C572" s="8" t="s">
        <v>34</v>
      </c>
      <c r="D572" s="8" t="s">
        <v>29</v>
      </c>
      <c r="E572" s="8" t="s">
        <v>76</v>
      </c>
      <c r="F572" s="8" t="s">
        <v>53</v>
      </c>
      <c r="G572" s="10">
        <v>12</v>
      </c>
      <c r="H572" s="11">
        <v>10.8</v>
      </c>
      <c r="I572" s="11">
        <v>129.6</v>
      </c>
      <c r="J572" s="11">
        <v>49.36</v>
      </c>
      <c r="K572" s="11">
        <v>80.239999999999995</v>
      </c>
      <c r="L572" s="8">
        <v>2025</v>
      </c>
      <c r="M572" s="8" t="s">
        <v>32</v>
      </c>
    </row>
    <row r="573" spans="1:13">
      <c r="A573" s="8" t="s">
        <v>637</v>
      </c>
      <c r="B573" s="9">
        <v>46058</v>
      </c>
      <c r="C573" s="8" t="s">
        <v>34</v>
      </c>
      <c r="D573" s="8" t="s">
        <v>38</v>
      </c>
      <c r="E573" s="8" t="s">
        <v>48</v>
      </c>
      <c r="F573" s="8" t="s">
        <v>40</v>
      </c>
      <c r="G573" s="10">
        <v>4</v>
      </c>
      <c r="H573" s="11">
        <v>208.81</v>
      </c>
      <c r="I573" s="11">
        <v>835.24</v>
      </c>
      <c r="J573" s="11">
        <v>544.32000000000005</v>
      </c>
      <c r="K573" s="11">
        <v>290.92</v>
      </c>
      <c r="L573" s="8">
        <v>2026</v>
      </c>
      <c r="M573" s="8" t="s">
        <v>83</v>
      </c>
    </row>
    <row r="574" spans="1:13">
      <c r="A574" s="8" t="s">
        <v>638</v>
      </c>
      <c r="B574" s="9">
        <v>46179</v>
      </c>
      <c r="C574" s="8" t="s">
        <v>28</v>
      </c>
      <c r="D574" s="8" t="s">
        <v>43</v>
      </c>
      <c r="E574" s="8" t="s">
        <v>65</v>
      </c>
      <c r="F574" s="8" t="s">
        <v>40</v>
      </c>
      <c r="G574" s="10">
        <v>2</v>
      </c>
      <c r="H574" s="11">
        <v>203.32</v>
      </c>
      <c r="I574" s="11">
        <v>406.64</v>
      </c>
      <c r="J574" s="11">
        <v>241.38</v>
      </c>
      <c r="K574" s="11">
        <v>165.26</v>
      </c>
      <c r="L574" s="8">
        <v>2026</v>
      </c>
      <c r="M574" s="8" t="s">
        <v>54</v>
      </c>
    </row>
    <row r="575" spans="1:13">
      <c r="A575" s="8" t="s">
        <v>639</v>
      </c>
      <c r="B575" s="9">
        <v>45939</v>
      </c>
      <c r="C575" s="8" t="s">
        <v>28</v>
      </c>
      <c r="D575" s="8" t="s">
        <v>43</v>
      </c>
      <c r="E575" s="8" t="s">
        <v>57</v>
      </c>
      <c r="F575" s="8" t="s">
        <v>66</v>
      </c>
      <c r="G575" s="10">
        <v>2</v>
      </c>
      <c r="H575" s="11">
        <v>547.77</v>
      </c>
      <c r="I575" s="11">
        <v>1095.54</v>
      </c>
      <c r="J575" s="11">
        <v>659.85</v>
      </c>
      <c r="K575" s="11">
        <v>435.69</v>
      </c>
      <c r="L575" s="8">
        <v>2025</v>
      </c>
      <c r="M575" s="8" t="s">
        <v>58</v>
      </c>
    </row>
    <row r="576" spans="1:13">
      <c r="A576" s="8" t="s">
        <v>640</v>
      </c>
      <c r="B576" s="9">
        <v>46098</v>
      </c>
      <c r="C576" s="8" t="s">
        <v>52</v>
      </c>
      <c r="D576" s="8" t="s">
        <v>38</v>
      </c>
      <c r="E576" s="8" t="s">
        <v>134</v>
      </c>
      <c r="F576" s="8" t="s">
        <v>66</v>
      </c>
      <c r="G576" s="10">
        <v>5</v>
      </c>
      <c r="H576" s="11">
        <v>350.58</v>
      </c>
      <c r="I576" s="11">
        <v>1752.9</v>
      </c>
      <c r="J576" s="11">
        <v>1296.49</v>
      </c>
      <c r="K576" s="11">
        <v>456.41</v>
      </c>
      <c r="L576" s="8">
        <v>2026</v>
      </c>
      <c r="M576" s="8" t="s">
        <v>77</v>
      </c>
    </row>
    <row r="577" spans="1:13">
      <c r="A577" s="8" t="s">
        <v>641</v>
      </c>
      <c r="B577" s="9">
        <v>46210</v>
      </c>
      <c r="C577" s="8" t="s">
        <v>56</v>
      </c>
      <c r="D577" s="8" t="s">
        <v>29</v>
      </c>
      <c r="E577" s="8" t="s">
        <v>116</v>
      </c>
      <c r="F577" s="8" t="s">
        <v>74</v>
      </c>
      <c r="G577" s="10">
        <v>6</v>
      </c>
      <c r="H577" s="11">
        <v>16.46</v>
      </c>
      <c r="I577" s="11">
        <v>98.76</v>
      </c>
      <c r="J577" s="11">
        <v>37.229999999999997</v>
      </c>
      <c r="K577" s="11">
        <v>61.53</v>
      </c>
      <c r="L577" s="8">
        <v>2026</v>
      </c>
      <c r="M577" s="8" t="s">
        <v>69</v>
      </c>
    </row>
    <row r="578" spans="1:13">
      <c r="A578" s="8" t="s">
        <v>642</v>
      </c>
      <c r="B578" s="9">
        <v>45899</v>
      </c>
      <c r="C578" s="8" t="s">
        <v>56</v>
      </c>
      <c r="D578" s="8" t="s">
        <v>38</v>
      </c>
      <c r="E578" s="8" t="s">
        <v>39</v>
      </c>
      <c r="F578" s="8" t="s">
        <v>66</v>
      </c>
      <c r="G578" s="10">
        <v>5</v>
      </c>
      <c r="H578" s="11">
        <v>53.85</v>
      </c>
      <c r="I578" s="11">
        <v>269.25</v>
      </c>
      <c r="J578" s="11">
        <v>117.62</v>
      </c>
      <c r="K578" s="11">
        <v>151.63</v>
      </c>
      <c r="L578" s="8">
        <v>2025</v>
      </c>
      <c r="M578" s="8" t="s">
        <v>62</v>
      </c>
    </row>
    <row r="579" spans="1:13">
      <c r="A579" s="8" t="s">
        <v>643</v>
      </c>
      <c r="B579" s="9">
        <v>45806</v>
      </c>
      <c r="C579" s="8" t="s">
        <v>34</v>
      </c>
      <c r="D579" s="8" t="s">
        <v>43</v>
      </c>
      <c r="E579" s="8" t="s">
        <v>65</v>
      </c>
      <c r="F579" s="8" t="s">
        <v>40</v>
      </c>
      <c r="G579" s="10">
        <v>2</v>
      </c>
      <c r="H579" s="11">
        <v>167.61</v>
      </c>
      <c r="I579" s="11">
        <v>335.22</v>
      </c>
      <c r="J579" s="11">
        <v>179.94</v>
      </c>
      <c r="K579" s="11">
        <v>155.28</v>
      </c>
      <c r="L579" s="8">
        <v>2025</v>
      </c>
      <c r="M579" s="8" t="s">
        <v>50</v>
      </c>
    </row>
    <row r="580" spans="1:13">
      <c r="A580" s="8" t="s">
        <v>644</v>
      </c>
      <c r="B580" s="9">
        <v>46210</v>
      </c>
      <c r="C580" s="8" t="s">
        <v>56</v>
      </c>
      <c r="D580" s="8" t="s">
        <v>43</v>
      </c>
      <c r="E580" s="8" t="s">
        <v>44</v>
      </c>
      <c r="F580" s="8" t="s">
        <v>40</v>
      </c>
      <c r="G580" s="10">
        <v>5</v>
      </c>
      <c r="H580" s="11">
        <v>436.45</v>
      </c>
      <c r="I580" s="11">
        <v>2182.25</v>
      </c>
      <c r="J580" s="11">
        <v>1277.1199999999999</v>
      </c>
      <c r="K580" s="11">
        <v>905.13</v>
      </c>
      <c r="L580" s="8">
        <v>2026</v>
      </c>
      <c r="M580" s="8" t="s">
        <v>69</v>
      </c>
    </row>
    <row r="581" spans="1:13">
      <c r="A581" s="8" t="s">
        <v>645</v>
      </c>
      <c r="B581" s="9">
        <v>46086</v>
      </c>
      <c r="C581" s="8" t="s">
        <v>52</v>
      </c>
      <c r="D581" s="8" t="s">
        <v>29</v>
      </c>
      <c r="E581" s="8" t="s">
        <v>76</v>
      </c>
      <c r="F581" s="8" t="s">
        <v>49</v>
      </c>
      <c r="G581" s="10">
        <v>4</v>
      </c>
      <c r="H581" s="11">
        <v>12.37</v>
      </c>
      <c r="I581" s="11">
        <v>49.48</v>
      </c>
      <c r="J581" s="11">
        <v>18.100000000000001</v>
      </c>
      <c r="K581" s="11">
        <v>31.38</v>
      </c>
      <c r="L581" s="8">
        <v>2026</v>
      </c>
      <c r="M581" s="8" t="s">
        <v>77</v>
      </c>
    </row>
    <row r="582" spans="1:13">
      <c r="A582" s="8" t="s">
        <v>646</v>
      </c>
      <c r="B582" s="9">
        <v>45796</v>
      </c>
      <c r="C582" s="8" t="s">
        <v>56</v>
      </c>
      <c r="D582" s="8" t="s">
        <v>38</v>
      </c>
      <c r="E582" s="8" t="s">
        <v>134</v>
      </c>
      <c r="F582" s="8" t="s">
        <v>45</v>
      </c>
      <c r="G582" s="10">
        <v>4</v>
      </c>
      <c r="H582" s="11">
        <v>350.98</v>
      </c>
      <c r="I582" s="11">
        <v>1403.92</v>
      </c>
      <c r="J582" s="11">
        <v>1061.83</v>
      </c>
      <c r="K582" s="11">
        <v>342.09</v>
      </c>
      <c r="L582" s="8">
        <v>2025</v>
      </c>
      <c r="M582" s="8" t="s">
        <v>50</v>
      </c>
    </row>
    <row r="583" spans="1:13">
      <c r="A583" s="8" t="s">
        <v>647</v>
      </c>
      <c r="B583" s="9">
        <v>45864</v>
      </c>
      <c r="C583" s="8" t="s">
        <v>56</v>
      </c>
      <c r="D583" s="8" t="s">
        <v>29</v>
      </c>
      <c r="E583" s="8" t="s">
        <v>35</v>
      </c>
      <c r="F583" s="8" t="s">
        <v>45</v>
      </c>
      <c r="G583" s="10">
        <v>12</v>
      </c>
      <c r="H583" s="11">
        <v>48.83</v>
      </c>
      <c r="I583" s="11">
        <v>585.96</v>
      </c>
      <c r="J583" s="11">
        <v>272.63</v>
      </c>
      <c r="K583" s="11">
        <v>313.33</v>
      </c>
      <c r="L583" s="8">
        <v>2025</v>
      </c>
      <c r="M583" s="8" t="s">
        <v>69</v>
      </c>
    </row>
    <row r="584" spans="1:13">
      <c r="A584" s="8" t="s">
        <v>648</v>
      </c>
      <c r="B584" s="9">
        <v>46027</v>
      </c>
      <c r="C584" s="8" t="s">
        <v>56</v>
      </c>
      <c r="D584" s="8" t="s">
        <v>43</v>
      </c>
      <c r="E584" s="8" t="s">
        <v>94</v>
      </c>
      <c r="F584" s="8" t="s">
        <v>40</v>
      </c>
      <c r="G584" s="10">
        <v>5</v>
      </c>
      <c r="H584" s="11">
        <v>247.71</v>
      </c>
      <c r="I584" s="11">
        <v>1238.55</v>
      </c>
      <c r="J584" s="11">
        <v>771.59</v>
      </c>
      <c r="K584" s="11">
        <v>466.96</v>
      </c>
      <c r="L584" s="8">
        <v>2026</v>
      </c>
      <c r="M584" s="8" t="s">
        <v>36</v>
      </c>
    </row>
    <row r="585" spans="1:13">
      <c r="A585" s="8" t="s">
        <v>649</v>
      </c>
      <c r="B585" s="9">
        <v>45792</v>
      </c>
      <c r="C585" s="8" t="s">
        <v>52</v>
      </c>
      <c r="D585" s="8" t="s">
        <v>29</v>
      </c>
      <c r="E585" s="8" t="s">
        <v>116</v>
      </c>
      <c r="F585" s="8" t="s">
        <v>53</v>
      </c>
      <c r="G585" s="10">
        <v>11</v>
      </c>
      <c r="H585" s="11">
        <v>17.8</v>
      </c>
      <c r="I585" s="11">
        <v>195.8</v>
      </c>
      <c r="J585" s="11">
        <v>78.23</v>
      </c>
      <c r="K585" s="11">
        <v>117.57</v>
      </c>
      <c r="L585" s="8">
        <v>2025</v>
      </c>
      <c r="M585" s="8" t="s">
        <v>50</v>
      </c>
    </row>
    <row r="586" spans="1:13">
      <c r="A586" s="8" t="s">
        <v>650</v>
      </c>
      <c r="B586" s="9">
        <v>45731</v>
      </c>
      <c r="C586" s="8" t="s">
        <v>28</v>
      </c>
      <c r="D586" s="8" t="s">
        <v>29</v>
      </c>
      <c r="E586" s="8" t="s">
        <v>30</v>
      </c>
      <c r="F586" s="8" t="s">
        <v>49</v>
      </c>
      <c r="G586" s="10">
        <v>5</v>
      </c>
      <c r="H586" s="11">
        <v>27.95</v>
      </c>
      <c r="I586" s="11">
        <v>139.75</v>
      </c>
      <c r="J586" s="11">
        <v>59.74</v>
      </c>
      <c r="K586" s="11">
        <v>80.010000000000005</v>
      </c>
      <c r="L586" s="8">
        <v>2025</v>
      </c>
      <c r="M586" s="8" t="s">
        <v>77</v>
      </c>
    </row>
    <row r="587" spans="1:13">
      <c r="A587" s="8" t="s">
        <v>651</v>
      </c>
      <c r="B587" s="9">
        <v>46036</v>
      </c>
      <c r="C587" s="8" t="s">
        <v>34</v>
      </c>
      <c r="D587" s="8" t="s">
        <v>38</v>
      </c>
      <c r="E587" s="8" t="s">
        <v>61</v>
      </c>
      <c r="F587" s="8" t="s">
        <v>45</v>
      </c>
      <c r="G587" s="10">
        <v>2</v>
      </c>
      <c r="H587" s="11">
        <v>927.43</v>
      </c>
      <c r="I587" s="11">
        <v>1854.86</v>
      </c>
      <c r="J587" s="11">
        <v>1417.39</v>
      </c>
      <c r="K587" s="11">
        <v>437.47</v>
      </c>
      <c r="L587" s="8">
        <v>2026</v>
      </c>
      <c r="M587" s="8" t="s">
        <v>36</v>
      </c>
    </row>
    <row r="588" spans="1:13">
      <c r="A588" s="8" t="s">
        <v>652</v>
      </c>
      <c r="B588" s="9">
        <v>46104</v>
      </c>
      <c r="C588" s="8" t="s">
        <v>56</v>
      </c>
      <c r="D588" s="8" t="s">
        <v>43</v>
      </c>
      <c r="E588" s="8" t="s">
        <v>57</v>
      </c>
      <c r="F588" s="8" t="s">
        <v>74</v>
      </c>
      <c r="G588" s="10">
        <v>5</v>
      </c>
      <c r="H588" s="11">
        <v>490.55</v>
      </c>
      <c r="I588" s="11">
        <v>2452.75</v>
      </c>
      <c r="J588" s="11">
        <v>1661.7</v>
      </c>
      <c r="K588" s="11">
        <v>791.05</v>
      </c>
      <c r="L588" s="8">
        <v>2026</v>
      </c>
      <c r="M588" s="8" t="s">
        <v>77</v>
      </c>
    </row>
    <row r="589" spans="1:13">
      <c r="A589" s="8" t="s">
        <v>653</v>
      </c>
      <c r="B589" s="9">
        <v>45718</v>
      </c>
      <c r="C589" s="8" t="s">
        <v>56</v>
      </c>
      <c r="D589" s="8" t="s">
        <v>29</v>
      </c>
      <c r="E589" s="8" t="s">
        <v>35</v>
      </c>
      <c r="F589" s="8" t="s">
        <v>85</v>
      </c>
      <c r="G589" s="10">
        <v>7</v>
      </c>
      <c r="H589" s="11">
        <v>40.98</v>
      </c>
      <c r="I589" s="11">
        <v>286.86</v>
      </c>
      <c r="J589" s="11">
        <v>140.84</v>
      </c>
      <c r="K589" s="11">
        <v>146.02000000000001</v>
      </c>
      <c r="L589" s="8">
        <v>2025</v>
      </c>
      <c r="M589" s="8" t="s">
        <v>77</v>
      </c>
    </row>
    <row r="590" spans="1:13">
      <c r="A590" s="8" t="s">
        <v>654</v>
      </c>
      <c r="B590" s="9">
        <v>46047</v>
      </c>
      <c r="C590" s="8" t="s">
        <v>52</v>
      </c>
      <c r="D590" s="8" t="s">
        <v>38</v>
      </c>
      <c r="E590" s="8" t="s">
        <v>61</v>
      </c>
      <c r="F590" s="8" t="s">
        <v>85</v>
      </c>
      <c r="G590" s="10">
        <v>4</v>
      </c>
      <c r="H590" s="11">
        <v>922.69</v>
      </c>
      <c r="I590" s="11">
        <v>3690.76</v>
      </c>
      <c r="J590" s="11">
        <v>2673.31</v>
      </c>
      <c r="K590" s="11">
        <v>1017.45</v>
      </c>
      <c r="L590" s="8">
        <v>2026</v>
      </c>
      <c r="M590" s="8" t="s">
        <v>36</v>
      </c>
    </row>
    <row r="591" spans="1:13">
      <c r="A591" s="8" t="s">
        <v>655</v>
      </c>
      <c r="B591" s="9">
        <v>45703</v>
      </c>
      <c r="C591" s="8" t="s">
        <v>28</v>
      </c>
      <c r="D591" s="8" t="s">
        <v>38</v>
      </c>
      <c r="E591" s="8" t="s">
        <v>39</v>
      </c>
      <c r="F591" s="8" t="s">
        <v>53</v>
      </c>
      <c r="G591" s="10">
        <v>1</v>
      </c>
      <c r="H591" s="11">
        <v>55.21</v>
      </c>
      <c r="I591" s="11">
        <v>55.21</v>
      </c>
      <c r="J591" s="11">
        <v>23.74</v>
      </c>
      <c r="K591" s="11">
        <v>31.47</v>
      </c>
      <c r="L591" s="8">
        <v>2025</v>
      </c>
      <c r="M591" s="8" t="s">
        <v>83</v>
      </c>
    </row>
    <row r="592" spans="1:13">
      <c r="A592" s="8" t="s">
        <v>656</v>
      </c>
      <c r="B592" s="9">
        <v>45825</v>
      </c>
      <c r="C592" s="8" t="s">
        <v>28</v>
      </c>
      <c r="D592" s="8" t="s">
        <v>38</v>
      </c>
      <c r="E592" s="8" t="s">
        <v>39</v>
      </c>
      <c r="F592" s="8" t="s">
        <v>49</v>
      </c>
      <c r="G592" s="10">
        <v>5</v>
      </c>
      <c r="H592" s="11">
        <v>61.8</v>
      </c>
      <c r="I592" s="11">
        <v>309</v>
      </c>
      <c r="J592" s="11">
        <v>126.55</v>
      </c>
      <c r="K592" s="11">
        <v>182.45</v>
      </c>
      <c r="L592" s="8">
        <v>2025</v>
      </c>
      <c r="M592" s="8" t="s">
        <v>54</v>
      </c>
    </row>
    <row r="593" spans="1:13">
      <c r="A593" s="8" t="s">
        <v>657</v>
      </c>
      <c r="B593" s="9">
        <v>46206</v>
      </c>
      <c r="C593" s="8" t="s">
        <v>34</v>
      </c>
      <c r="D593" s="8" t="s">
        <v>43</v>
      </c>
      <c r="E593" s="8" t="s">
        <v>57</v>
      </c>
      <c r="F593" s="8" t="s">
        <v>74</v>
      </c>
      <c r="G593" s="10">
        <v>4</v>
      </c>
      <c r="H593" s="11">
        <v>512.9</v>
      </c>
      <c r="I593" s="11">
        <v>2051.6</v>
      </c>
      <c r="J593" s="11">
        <v>1368.12</v>
      </c>
      <c r="K593" s="11">
        <v>683.48</v>
      </c>
      <c r="L593" s="8">
        <v>2026</v>
      </c>
      <c r="M593" s="8" t="s">
        <v>69</v>
      </c>
    </row>
    <row r="594" spans="1:13">
      <c r="A594" s="8" t="s">
        <v>658</v>
      </c>
      <c r="B594" s="9">
        <v>45802</v>
      </c>
      <c r="C594" s="8" t="s">
        <v>34</v>
      </c>
      <c r="D594" s="8" t="s">
        <v>29</v>
      </c>
      <c r="E594" s="8" t="s">
        <v>116</v>
      </c>
      <c r="F594" s="8" t="s">
        <v>31</v>
      </c>
      <c r="G594" s="10">
        <v>9</v>
      </c>
      <c r="H594" s="11">
        <v>18.579999999999998</v>
      </c>
      <c r="I594" s="11">
        <v>167.22</v>
      </c>
      <c r="J594" s="11">
        <v>65</v>
      </c>
      <c r="K594" s="11">
        <v>102.22</v>
      </c>
      <c r="L594" s="8">
        <v>2025</v>
      </c>
      <c r="M594" s="8" t="s">
        <v>50</v>
      </c>
    </row>
    <row r="595" spans="1:13">
      <c r="A595" s="8" t="s">
        <v>659</v>
      </c>
      <c r="B595" s="9">
        <v>46022</v>
      </c>
      <c r="C595" s="8" t="s">
        <v>34</v>
      </c>
      <c r="D595" s="8" t="s">
        <v>43</v>
      </c>
      <c r="E595" s="8" t="s">
        <v>65</v>
      </c>
      <c r="F595" s="8" t="s">
        <v>85</v>
      </c>
      <c r="G595" s="10">
        <v>2</v>
      </c>
      <c r="H595" s="11">
        <v>169.19</v>
      </c>
      <c r="I595" s="11">
        <v>338.38</v>
      </c>
      <c r="J595" s="11">
        <v>184.14</v>
      </c>
      <c r="K595" s="11">
        <v>154.24</v>
      </c>
      <c r="L595" s="8">
        <v>2025</v>
      </c>
      <c r="M595" s="8" t="s">
        <v>32</v>
      </c>
    </row>
    <row r="596" spans="1:13">
      <c r="A596" s="8" t="s">
        <v>660</v>
      </c>
      <c r="B596" s="9">
        <v>45989</v>
      </c>
      <c r="C596" s="8" t="s">
        <v>52</v>
      </c>
      <c r="D596" s="8" t="s">
        <v>43</v>
      </c>
      <c r="E596" s="8" t="s">
        <v>44</v>
      </c>
      <c r="F596" s="8" t="s">
        <v>45</v>
      </c>
      <c r="G596" s="10">
        <v>5</v>
      </c>
      <c r="H596" s="11">
        <v>454.85</v>
      </c>
      <c r="I596" s="11">
        <v>2274.25</v>
      </c>
      <c r="J596" s="11">
        <v>1434.17</v>
      </c>
      <c r="K596" s="11">
        <v>840.08</v>
      </c>
      <c r="L596" s="8">
        <v>2025</v>
      </c>
      <c r="M596" s="8" t="s">
        <v>41</v>
      </c>
    </row>
    <row r="597" spans="1:13">
      <c r="A597" s="8" t="s">
        <v>661</v>
      </c>
      <c r="B597" s="9">
        <v>45705</v>
      </c>
      <c r="C597" s="8" t="s">
        <v>52</v>
      </c>
      <c r="D597" s="8" t="s">
        <v>29</v>
      </c>
      <c r="E597" s="8" t="s">
        <v>30</v>
      </c>
      <c r="F597" s="8" t="s">
        <v>31</v>
      </c>
      <c r="G597" s="10">
        <v>1</v>
      </c>
      <c r="H597" s="11">
        <v>25.29</v>
      </c>
      <c r="I597" s="11">
        <v>25.29</v>
      </c>
      <c r="J597" s="11">
        <v>11.02</v>
      </c>
      <c r="K597" s="11">
        <v>14.27</v>
      </c>
      <c r="L597" s="8">
        <v>2025</v>
      </c>
      <c r="M597" s="8" t="s">
        <v>83</v>
      </c>
    </row>
    <row r="598" spans="1:13">
      <c r="A598" s="8" t="s">
        <v>662</v>
      </c>
      <c r="B598" s="9">
        <v>45767</v>
      </c>
      <c r="C598" s="8" t="s">
        <v>28</v>
      </c>
      <c r="D598" s="8" t="s">
        <v>29</v>
      </c>
      <c r="E598" s="8" t="s">
        <v>76</v>
      </c>
      <c r="F598" s="8" t="s">
        <v>66</v>
      </c>
      <c r="G598" s="10">
        <v>10</v>
      </c>
      <c r="H598" s="11">
        <v>12.56</v>
      </c>
      <c r="I598" s="11">
        <v>125.6</v>
      </c>
      <c r="J598" s="11">
        <v>47.05</v>
      </c>
      <c r="K598" s="11">
        <v>78.55</v>
      </c>
      <c r="L598" s="8">
        <v>2025</v>
      </c>
      <c r="M598" s="8" t="s">
        <v>46</v>
      </c>
    </row>
    <row r="599" spans="1:13">
      <c r="A599" s="8" t="s">
        <v>663</v>
      </c>
      <c r="B599" s="9">
        <v>46148</v>
      </c>
      <c r="C599" s="8" t="s">
        <v>28</v>
      </c>
      <c r="D599" s="8" t="s">
        <v>29</v>
      </c>
      <c r="E599" s="8" t="s">
        <v>35</v>
      </c>
      <c r="F599" s="8" t="s">
        <v>49</v>
      </c>
      <c r="G599" s="10">
        <v>4</v>
      </c>
      <c r="H599" s="11">
        <v>50.56</v>
      </c>
      <c r="I599" s="11">
        <v>202.24</v>
      </c>
      <c r="J599" s="11">
        <v>92.64</v>
      </c>
      <c r="K599" s="11">
        <v>109.6</v>
      </c>
      <c r="L599" s="8">
        <v>2026</v>
      </c>
      <c r="M599" s="8" t="s">
        <v>50</v>
      </c>
    </row>
    <row r="600" spans="1:13">
      <c r="A600" s="8" t="s">
        <v>664</v>
      </c>
      <c r="B600" s="9">
        <v>46168</v>
      </c>
      <c r="C600" s="8" t="s">
        <v>56</v>
      </c>
      <c r="D600" s="8" t="s">
        <v>38</v>
      </c>
      <c r="E600" s="8" t="s">
        <v>39</v>
      </c>
      <c r="F600" s="8" t="s">
        <v>74</v>
      </c>
      <c r="G600" s="10">
        <v>3</v>
      </c>
      <c r="H600" s="11">
        <v>48.32</v>
      </c>
      <c r="I600" s="11">
        <v>144.96</v>
      </c>
      <c r="J600" s="11">
        <v>67.19</v>
      </c>
      <c r="K600" s="11">
        <v>77.77</v>
      </c>
      <c r="L600" s="8">
        <v>2026</v>
      </c>
      <c r="M600" s="8" t="s">
        <v>50</v>
      </c>
    </row>
    <row r="601" spans="1:13">
      <c r="A601" s="8" t="s">
        <v>665</v>
      </c>
      <c r="B601" s="9">
        <v>46204</v>
      </c>
      <c r="C601" s="8" t="s">
        <v>52</v>
      </c>
      <c r="D601" s="8" t="s">
        <v>43</v>
      </c>
      <c r="E601" s="8" t="s">
        <v>94</v>
      </c>
      <c r="F601" s="8" t="s">
        <v>66</v>
      </c>
      <c r="G601" s="10">
        <v>4</v>
      </c>
      <c r="H601" s="11">
        <v>251.43</v>
      </c>
      <c r="I601" s="11">
        <v>1005.72</v>
      </c>
      <c r="J601" s="11">
        <v>579.23</v>
      </c>
      <c r="K601" s="11">
        <v>426.49</v>
      </c>
      <c r="L601" s="8">
        <v>2026</v>
      </c>
      <c r="M601" s="8" t="s">
        <v>69</v>
      </c>
    </row>
    <row r="602" spans="1:13">
      <c r="A602" s="8" t="s">
        <v>666</v>
      </c>
      <c r="B602" s="9">
        <v>45816</v>
      </c>
      <c r="C602" s="8" t="s">
        <v>28</v>
      </c>
      <c r="D602" s="8" t="s">
        <v>38</v>
      </c>
      <c r="E602" s="8" t="s">
        <v>134</v>
      </c>
      <c r="F602" s="8" t="s">
        <v>31</v>
      </c>
      <c r="G602" s="10">
        <v>4</v>
      </c>
      <c r="H602" s="11">
        <v>290.57</v>
      </c>
      <c r="I602" s="11">
        <v>1162.28</v>
      </c>
      <c r="J602" s="11">
        <v>796.32</v>
      </c>
      <c r="K602" s="11">
        <v>365.96</v>
      </c>
      <c r="L602" s="8">
        <v>2025</v>
      </c>
      <c r="M602" s="8" t="s">
        <v>54</v>
      </c>
    </row>
    <row r="603" spans="1:13">
      <c r="A603" s="8" t="s">
        <v>667</v>
      </c>
      <c r="B603" s="9">
        <v>46187</v>
      </c>
      <c r="C603" s="8" t="s">
        <v>28</v>
      </c>
      <c r="D603" s="8" t="s">
        <v>29</v>
      </c>
      <c r="E603" s="8" t="s">
        <v>35</v>
      </c>
      <c r="F603" s="8" t="s">
        <v>66</v>
      </c>
      <c r="G603" s="10">
        <v>7</v>
      </c>
      <c r="H603" s="11">
        <v>46.66</v>
      </c>
      <c r="I603" s="11">
        <v>326.62</v>
      </c>
      <c r="J603" s="11">
        <v>157</v>
      </c>
      <c r="K603" s="11">
        <v>169.62</v>
      </c>
      <c r="L603" s="8">
        <v>2026</v>
      </c>
      <c r="M603" s="8" t="s">
        <v>54</v>
      </c>
    </row>
    <row r="604" spans="1:13">
      <c r="A604" s="8" t="s">
        <v>668</v>
      </c>
      <c r="B604" s="9">
        <v>45989</v>
      </c>
      <c r="C604" s="8" t="s">
        <v>34</v>
      </c>
      <c r="D604" s="8" t="s">
        <v>38</v>
      </c>
      <c r="E604" s="8" t="s">
        <v>48</v>
      </c>
      <c r="F604" s="8" t="s">
        <v>31</v>
      </c>
      <c r="G604" s="10">
        <v>1</v>
      </c>
      <c r="H604" s="11">
        <v>200.83</v>
      </c>
      <c r="I604" s="11">
        <v>200.83</v>
      </c>
      <c r="J604" s="11">
        <v>126.17</v>
      </c>
      <c r="K604" s="11">
        <v>74.66</v>
      </c>
      <c r="L604" s="8">
        <v>2025</v>
      </c>
      <c r="M604" s="8" t="s">
        <v>41</v>
      </c>
    </row>
    <row r="605" spans="1:13">
      <c r="A605" s="8" t="s">
        <v>669</v>
      </c>
      <c r="B605" s="9">
        <v>45738</v>
      </c>
      <c r="C605" s="8" t="s">
        <v>52</v>
      </c>
      <c r="D605" s="8" t="s">
        <v>29</v>
      </c>
      <c r="E605" s="8" t="s">
        <v>116</v>
      </c>
      <c r="F605" s="8" t="s">
        <v>45</v>
      </c>
      <c r="G605" s="10">
        <v>12</v>
      </c>
      <c r="H605" s="11">
        <v>17.53</v>
      </c>
      <c r="I605" s="11">
        <v>210.36</v>
      </c>
      <c r="J605" s="11">
        <v>87.11</v>
      </c>
      <c r="K605" s="11">
        <v>123.25</v>
      </c>
      <c r="L605" s="8">
        <v>2025</v>
      </c>
      <c r="M605" s="8" t="s">
        <v>77</v>
      </c>
    </row>
    <row r="606" spans="1:13">
      <c r="A606" s="8" t="s">
        <v>670</v>
      </c>
      <c r="B606" s="9">
        <v>45927</v>
      </c>
      <c r="C606" s="8" t="s">
        <v>34</v>
      </c>
      <c r="D606" s="8" t="s">
        <v>38</v>
      </c>
      <c r="E606" s="8" t="s">
        <v>48</v>
      </c>
      <c r="F606" s="8" t="s">
        <v>66</v>
      </c>
      <c r="G606" s="10">
        <v>5</v>
      </c>
      <c r="H606" s="11">
        <v>239.1</v>
      </c>
      <c r="I606" s="11">
        <v>1195.5</v>
      </c>
      <c r="J606" s="11">
        <v>755.55</v>
      </c>
      <c r="K606" s="11">
        <v>439.95</v>
      </c>
      <c r="L606" s="8">
        <v>2025</v>
      </c>
      <c r="M606" s="8" t="s">
        <v>98</v>
      </c>
    </row>
    <row r="607" spans="1:13">
      <c r="A607" s="8" t="s">
        <v>671</v>
      </c>
      <c r="B607" s="9">
        <v>46153</v>
      </c>
      <c r="C607" s="8" t="s">
        <v>52</v>
      </c>
      <c r="D607" s="8" t="s">
        <v>29</v>
      </c>
      <c r="E607" s="8" t="s">
        <v>116</v>
      </c>
      <c r="F607" s="8" t="s">
        <v>85</v>
      </c>
      <c r="G607" s="10">
        <v>4</v>
      </c>
      <c r="H607" s="11">
        <v>15.55</v>
      </c>
      <c r="I607" s="11">
        <v>62.2</v>
      </c>
      <c r="J607" s="11">
        <v>23.89</v>
      </c>
      <c r="K607" s="11">
        <v>38.31</v>
      </c>
      <c r="L607" s="8">
        <v>2026</v>
      </c>
      <c r="M607" s="8" t="s">
        <v>50</v>
      </c>
    </row>
    <row r="608" spans="1:13">
      <c r="A608" s="8" t="s">
        <v>672</v>
      </c>
      <c r="B608" s="9">
        <v>46263</v>
      </c>
      <c r="C608" s="8" t="s">
        <v>56</v>
      </c>
      <c r="D608" s="8" t="s">
        <v>38</v>
      </c>
      <c r="E608" s="8" t="s">
        <v>61</v>
      </c>
      <c r="F608" s="8" t="s">
        <v>74</v>
      </c>
      <c r="G608" s="10">
        <v>4</v>
      </c>
      <c r="H608" s="11">
        <v>822.03</v>
      </c>
      <c r="I608" s="11">
        <v>3288.12</v>
      </c>
      <c r="J608" s="11">
        <v>2472.36</v>
      </c>
      <c r="K608" s="11">
        <v>815.76</v>
      </c>
      <c r="L608" s="8">
        <v>2026</v>
      </c>
      <c r="M608" s="8" t="s">
        <v>62</v>
      </c>
    </row>
    <row r="609" spans="1:13">
      <c r="A609" s="8" t="s">
        <v>673</v>
      </c>
      <c r="B609" s="9">
        <v>45907</v>
      </c>
      <c r="C609" s="8" t="s">
        <v>52</v>
      </c>
      <c r="D609" s="8" t="s">
        <v>29</v>
      </c>
      <c r="E609" s="8" t="s">
        <v>116</v>
      </c>
      <c r="F609" s="8" t="s">
        <v>85</v>
      </c>
      <c r="G609" s="10">
        <v>12</v>
      </c>
      <c r="H609" s="11">
        <v>18.14</v>
      </c>
      <c r="I609" s="11">
        <v>217.68</v>
      </c>
      <c r="J609" s="11">
        <v>89.96</v>
      </c>
      <c r="K609" s="11">
        <v>127.72</v>
      </c>
      <c r="L609" s="8">
        <v>2025</v>
      </c>
      <c r="M609" s="8" t="s">
        <v>98</v>
      </c>
    </row>
    <row r="610" spans="1:13">
      <c r="A610" s="8" t="s">
        <v>674</v>
      </c>
      <c r="B610" s="9">
        <v>46185</v>
      </c>
      <c r="C610" s="8" t="s">
        <v>52</v>
      </c>
      <c r="D610" s="8" t="s">
        <v>38</v>
      </c>
      <c r="E610" s="8" t="s">
        <v>48</v>
      </c>
      <c r="F610" s="8" t="s">
        <v>74</v>
      </c>
      <c r="G610" s="10">
        <v>1</v>
      </c>
      <c r="H610" s="11">
        <v>207.13</v>
      </c>
      <c r="I610" s="11">
        <v>207.13</v>
      </c>
      <c r="J610" s="11">
        <v>135.68</v>
      </c>
      <c r="K610" s="11">
        <v>71.45</v>
      </c>
      <c r="L610" s="8">
        <v>2026</v>
      </c>
      <c r="M610" s="8" t="s">
        <v>54</v>
      </c>
    </row>
    <row r="611" spans="1:13">
      <c r="A611" s="8" t="s">
        <v>675</v>
      </c>
      <c r="B611" s="9">
        <v>46160</v>
      </c>
      <c r="C611" s="8" t="s">
        <v>52</v>
      </c>
      <c r="D611" s="8" t="s">
        <v>38</v>
      </c>
      <c r="E611" s="8" t="s">
        <v>48</v>
      </c>
      <c r="F611" s="8" t="s">
        <v>74</v>
      </c>
      <c r="G611" s="10">
        <v>5</v>
      </c>
      <c r="H611" s="11">
        <v>220.47</v>
      </c>
      <c r="I611" s="11">
        <v>1102.3499999999999</v>
      </c>
      <c r="J611" s="11">
        <v>738.96</v>
      </c>
      <c r="K611" s="11">
        <v>363.39</v>
      </c>
      <c r="L611" s="8">
        <v>2026</v>
      </c>
      <c r="M611" s="8" t="s">
        <v>50</v>
      </c>
    </row>
    <row r="612" spans="1:13">
      <c r="A612" s="8" t="s">
        <v>676</v>
      </c>
      <c r="B612" s="9">
        <v>46036</v>
      </c>
      <c r="C612" s="8" t="s">
        <v>56</v>
      </c>
      <c r="D612" s="8" t="s">
        <v>43</v>
      </c>
      <c r="E612" s="8" t="s">
        <v>65</v>
      </c>
      <c r="F612" s="8" t="s">
        <v>74</v>
      </c>
      <c r="G612" s="10">
        <v>1</v>
      </c>
      <c r="H612" s="11">
        <v>172.22</v>
      </c>
      <c r="I612" s="11">
        <v>172.22</v>
      </c>
      <c r="J612" s="11">
        <v>89.68</v>
      </c>
      <c r="K612" s="11">
        <v>82.54</v>
      </c>
      <c r="L612" s="8">
        <v>2026</v>
      </c>
      <c r="M612" s="8" t="s">
        <v>36</v>
      </c>
    </row>
    <row r="613" spans="1:13">
      <c r="A613" s="8" t="s">
        <v>677</v>
      </c>
      <c r="B613" s="9">
        <v>45981</v>
      </c>
      <c r="C613" s="8" t="s">
        <v>34</v>
      </c>
      <c r="D613" s="8" t="s">
        <v>43</v>
      </c>
      <c r="E613" s="8" t="s">
        <v>94</v>
      </c>
      <c r="F613" s="8" t="s">
        <v>40</v>
      </c>
      <c r="G613" s="10">
        <v>4</v>
      </c>
      <c r="H613" s="11">
        <v>314.86</v>
      </c>
      <c r="I613" s="11">
        <v>1259.44</v>
      </c>
      <c r="J613" s="11">
        <v>767.58</v>
      </c>
      <c r="K613" s="11">
        <v>491.86</v>
      </c>
      <c r="L613" s="8">
        <v>2025</v>
      </c>
      <c r="M613" s="8" t="s">
        <v>41</v>
      </c>
    </row>
    <row r="614" spans="1:13">
      <c r="A614" s="8" t="s">
        <v>678</v>
      </c>
      <c r="B614" s="9">
        <v>46211</v>
      </c>
      <c r="C614" s="8" t="s">
        <v>34</v>
      </c>
      <c r="D614" s="8" t="s">
        <v>29</v>
      </c>
      <c r="E614" s="8" t="s">
        <v>116</v>
      </c>
      <c r="F614" s="8" t="s">
        <v>85</v>
      </c>
      <c r="G614" s="10">
        <v>3</v>
      </c>
      <c r="H614" s="11">
        <v>19.41</v>
      </c>
      <c r="I614" s="11">
        <v>58.23</v>
      </c>
      <c r="J614" s="11">
        <v>21.65</v>
      </c>
      <c r="K614" s="11">
        <v>36.58</v>
      </c>
      <c r="L614" s="8">
        <v>2026</v>
      </c>
      <c r="M614" s="8" t="s">
        <v>69</v>
      </c>
    </row>
    <row r="615" spans="1:13">
      <c r="A615" s="8" t="s">
        <v>679</v>
      </c>
      <c r="B615" s="9">
        <v>45959</v>
      </c>
      <c r="C615" s="8" t="s">
        <v>34</v>
      </c>
      <c r="D615" s="8" t="s">
        <v>38</v>
      </c>
      <c r="E615" s="8" t="s">
        <v>134</v>
      </c>
      <c r="F615" s="8" t="s">
        <v>74</v>
      </c>
      <c r="G615" s="10">
        <v>4</v>
      </c>
      <c r="H615" s="11">
        <v>360.9</v>
      </c>
      <c r="I615" s="11">
        <v>1443.6</v>
      </c>
      <c r="J615" s="11">
        <v>1071.02</v>
      </c>
      <c r="K615" s="11">
        <v>372.58</v>
      </c>
      <c r="L615" s="8">
        <v>2025</v>
      </c>
      <c r="M615" s="8" t="s">
        <v>58</v>
      </c>
    </row>
    <row r="616" spans="1:13">
      <c r="A616" s="8" t="s">
        <v>680</v>
      </c>
      <c r="B616" s="9">
        <v>45769</v>
      </c>
      <c r="C616" s="8" t="s">
        <v>28</v>
      </c>
      <c r="D616" s="8" t="s">
        <v>38</v>
      </c>
      <c r="E616" s="8" t="s">
        <v>48</v>
      </c>
      <c r="F616" s="8" t="s">
        <v>53</v>
      </c>
      <c r="G616" s="10">
        <v>2</v>
      </c>
      <c r="H616" s="11">
        <v>189.79</v>
      </c>
      <c r="I616" s="11">
        <v>379.58</v>
      </c>
      <c r="J616" s="11">
        <v>240.52</v>
      </c>
      <c r="K616" s="11">
        <v>139.06</v>
      </c>
      <c r="L616" s="8">
        <v>2025</v>
      </c>
      <c r="M616" s="8" t="s">
        <v>46</v>
      </c>
    </row>
    <row r="617" spans="1:13">
      <c r="A617" s="8" t="s">
        <v>681</v>
      </c>
      <c r="B617" s="9">
        <v>45777</v>
      </c>
      <c r="C617" s="8" t="s">
        <v>56</v>
      </c>
      <c r="D617" s="8" t="s">
        <v>43</v>
      </c>
      <c r="E617" s="8" t="s">
        <v>57</v>
      </c>
      <c r="F617" s="8" t="s">
        <v>31</v>
      </c>
      <c r="G617" s="10">
        <v>1</v>
      </c>
      <c r="H617" s="11">
        <v>439.82</v>
      </c>
      <c r="I617" s="11">
        <v>439.82</v>
      </c>
      <c r="J617" s="11">
        <v>278.32</v>
      </c>
      <c r="K617" s="11">
        <v>161.5</v>
      </c>
      <c r="L617" s="8">
        <v>2025</v>
      </c>
      <c r="M617" s="8" t="s">
        <v>46</v>
      </c>
    </row>
    <row r="618" spans="1:13">
      <c r="A618" s="8" t="s">
        <v>682</v>
      </c>
      <c r="B618" s="9">
        <v>45766</v>
      </c>
      <c r="C618" s="8" t="s">
        <v>28</v>
      </c>
      <c r="D618" s="8" t="s">
        <v>43</v>
      </c>
      <c r="E618" s="8" t="s">
        <v>65</v>
      </c>
      <c r="F618" s="8" t="s">
        <v>74</v>
      </c>
      <c r="G618" s="10">
        <v>5</v>
      </c>
      <c r="H618" s="11">
        <v>202.34</v>
      </c>
      <c r="I618" s="11">
        <v>1011.7</v>
      </c>
      <c r="J618" s="11">
        <v>531.09</v>
      </c>
      <c r="K618" s="11">
        <v>480.61</v>
      </c>
      <c r="L618" s="8">
        <v>2025</v>
      </c>
      <c r="M618" s="8" t="s">
        <v>46</v>
      </c>
    </row>
    <row r="619" spans="1:13">
      <c r="A619" s="8" t="s">
        <v>683</v>
      </c>
      <c r="B619" s="9">
        <v>45680</v>
      </c>
      <c r="C619" s="8" t="s">
        <v>56</v>
      </c>
      <c r="D619" s="8" t="s">
        <v>29</v>
      </c>
      <c r="E619" s="8" t="s">
        <v>35</v>
      </c>
      <c r="F619" s="8" t="s">
        <v>85</v>
      </c>
      <c r="G619" s="10">
        <v>5</v>
      </c>
      <c r="H619" s="11">
        <v>48.85</v>
      </c>
      <c r="I619" s="11">
        <v>244.25</v>
      </c>
      <c r="J619" s="11">
        <v>117.73</v>
      </c>
      <c r="K619" s="11">
        <v>126.52</v>
      </c>
      <c r="L619" s="8">
        <v>2025</v>
      </c>
      <c r="M619" s="8" t="s">
        <v>36</v>
      </c>
    </row>
    <row r="620" spans="1:13">
      <c r="A620" s="8" t="s">
        <v>684</v>
      </c>
      <c r="B620" s="9">
        <v>45752</v>
      </c>
      <c r="C620" s="8" t="s">
        <v>28</v>
      </c>
      <c r="D620" s="8" t="s">
        <v>38</v>
      </c>
      <c r="E620" s="8" t="s">
        <v>48</v>
      </c>
      <c r="F620" s="8" t="s">
        <v>53</v>
      </c>
      <c r="G620" s="10">
        <v>5</v>
      </c>
      <c r="H620" s="11">
        <v>203.53</v>
      </c>
      <c r="I620" s="11">
        <v>1017.65</v>
      </c>
      <c r="J620" s="11">
        <v>657.57</v>
      </c>
      <c r="K620" s="11">
        <v>360.08</v>
      </c>
      <c r="L620" s="8">
        <v>2025</v>
      </c>
      <c r="M620" s="8" t="s">
        <v>46</v>
      </c>
    </row>
    <row r="621" spans="1:13">
      <c r="A621" s="8" t="s">
        <v>685</v>
      </c>
      <c r="B621" s="9">
        <v>46200</v>
      </c>
      <c r="C621" s="8" t="s">
        <v>56</v>
      </c>
      <c r="D621" s="8" t="s">
        <v>43</v>
      </c>
      <c r="E621" s="8" t="s">
        <v>65</v>
      </c>
      <c r="F621" s="8" t="s">
        <v>74</v>
      </c>
      <c r="G621" s="10">
        <v>3</v>
      </c>
      <c r="H621" s="11">
        <v>176.66</v>
      </c>
      <c r="I621" s="11">
        <v>529.98</v>
      </c>
      <c r="J621" s="11">
        <v>289.77</v>
      </c>
      <c r="K621" s="11">
        <v>240.21</v>
      </c>
      <c r="L621" s="8">
        <v>2026</v>
      </c>
      <c r="M621" s="8" t="s">
        <v>54</v>
      </c>
    </row>
    <row r="622" spans="1:13">
      <c r="A622" s="8" t="s">
        <v>686</v>
      </c>
      <c r="B622" s="9">
        <v>46053</v>
      </c>
      <c r="C622" s="8" t="s">
        <v>34</v>
      </c>
      <c r="D622" s="8" t="s">
        <v>43</v>
      </c>
      <c r="E622" s="8" t="s">
        <v>94</v>
      </c>
      <c r="F622" s="8" t="s">
        <v>31</v>
      </c>
      <c r="G622" s="10">
        <v>2</v>
      </c>
      <c r="H622" s="11">
        <v>245.72</v>
      </c>
      <c r="I622" s="11">
        <v>491.44</v>
      </c>
      <c r="J622" s="11">
        <v>298.20999999999998</v>
      </c>
      <c r="K622" s="11">
        <v>193.23</v>
      </c>
      <c r="L622" s="8">
        <v>2026</v>
      </c>
      <c r="M622" s="8" t="s">
        <v>36</v>
      </c>
    </row>
    <row r="623" spans="1:13">
      <c r="A623" s="8" t="s">
        <v>687</v>
      </c>
      <c r="B623" s="9">
        <v>46201</v>
      </c>
      <c r="C623" s="8" t="s">
        <v>52</v>
      </c>
      <c r="D623" s="8" t="s">
        <v>43</v>
      </c>
      <c r="E623" s="8" t="s">
        <v>57</v>
      </c>
      <c r="F623" s="8" t="s">
        <v>49</v>
      </c>
      <c r="G623" s="10">
        <v>3</v>
      </c>
      <c r="H623" s="11">
        <v>550.04</v>
      </c>
      <c r="I623" s="11">
        <v>1650.12</v>
      </c>
      <c r="J623" s="11">
        <v>1033.33</v>
      </c>
      <c r="K623" s="11">
        <v>616.79</v>
      </c>
      <c r="L623" s="8">
        <v>2026</v>
      </c>
      <c r="M623" s="8" t="s">
        <v>54</v>
      </c>
    </row>
    <row r="624" spans="1:13">
      <c r="A624" s="8" t="s">
        <v>688</v>
      </c>
      <c r="B624" s="9">
        <v>45981</v>
      </c>
      <c r="C624" s="8" t="s">
        <v>34</v>
      </c>
      <c r="D624" s="8" t="s">
        <v>29</v>
      </c>
      <c r="E624" s="8" t="s">
        <v>30</v>
      </c>
      <c r="F624" s="8" t="s">
        <v>31</v>
      </c>
      <c r="G624" s="10">
        <v>5</v>
      </c>
      <c r="H624" s="11">
        <v>27.54</v>
      </c>
      <c r="I624" s="11">
        <v>137.69999999999999</v>
      </c>
      <c r="J624" s="11">
        <v>59.59</v>
      </c>
      <c r="K624" s="11">
        <v>78.11</v>
      </c>
      <c r="L624" s="8">
        <v>2025</v>
      </c>
      <c r="M624" s="8" t="s">
        <v>41</v>
      </c>
    </row>
    <row r="625" spans="1:13">
      <c r="A625" s="8" t="s">
        <v>689</v>
      </c>
      <c r="B625" s="9">
        <v>46220</v>
      </c>
      <c r="C625" s="8" t="s">
        <v>56</v>
      </c>
      <c r="D625" s="8" t="s">
        <v>38</v>
      </c>
      <c r="E625" s="8" t="s">
        <v>39</v>
      </c>
      <c r="F625" s="8" t="s">
        <v>45</v>
      </c>
      <c r="G625" s="10">
        <v>1</v>
      </c>
      <c r="H625" s="11">
        <v>49.72</v>
      </c>
      <c r="I625" s="11">
        <v>49.72</v>
      </c>
      <c r="J625" s="11">
        <v>20.83</v>
      </c>
      <c r="K625" s="11">
        <v>28.89</v>
      </c>
      <c r="L625" s="8">
        <v>2026</v>
      </c>
      <c r="M625" s="8" t="s">
        <v>69</v>
      </c>
    </row>
    <row r="626" spans="1:13">
      <c r="A626" s="8" t="s">
        <v>690</v>
      </c>
      <c r="B626" s="9">
        <v>45877</v>
      </c>
      <c r="C626" s="8" t="s">
        <v>56</v>
      </c>
      <c r="D626" s="8" t="s">
        <v>38</v>
      </c>
      <c r="E626" s="8" t="s">
        <v>134</v>
      </c>
      <c r="F626" s="8" t="s">
        <v>31</v>
      </c>
      <c r="G626" s="10">
        <v>2</v>
      </c>
      <c r="H626" s="11">
        <v>275.36</v>
      </c>
      <c r="I626" s="11">
        <v>550.72</v>
      </c>
      <c r="J626" s="11">
        <v>401.78</v>
      </c>
      <c r="K626" s="11">
        <v>148.94</v>
      </c>
      <c r="L626" s="8">
        <v>2025</v>
      </c>
      <c r="M626" s="8" t="s">
        <v>62</v>
      </c>
    </row>
    <row r="627" spans="1:13">
      <c r="A627" s="8" t="s">
        <v>691</v>
      </c>
      <c r="B627" s="9">
        <v>45851</v>
      </c>
      <c r="C627" s="8" t="s">
        <v>28</v>
      </c>
      <c r="D627" s="8" t="s">
        <v>38</v>
      </c>
      <c r="E627" s="8" t="s">
        <v>39</v>
      </c>
      <c r="F627" s="8" t="s">
        <v>74</v>
      </c>
      <c r="G627" s="10">
        <v>2</v>
      </c>
      <c r="H627" s="11">
        <v>52.2</v>
      </c>
      <c r="I627" s="11">
        <v>104.4</v>
      </c>
      <c r="J627" s="11">
        <v>49.14</v>
      </c>
      <c r="K627" s="11">
        <v>55.26</v>
      </c>
      <c r="L627" s="8">
        <v>2025</v>
      </c>
      <c r="M627" s="8" t="s">
        <v>69</v>
      </c>
    </row>
    <row r="628" spans="1:13">
      <c r="A628" s="8" t="s">
        <v>692</v>
      </c>
      <c r="B628" s="9">
        <v>46039</v>
      </c>
      <c r="C628" s="8" t="s">
        <v>56</v>
      </c>
      <c r="D628" s="8" t="s">
        <v>43</v>
      </c>
      <c r="E628" s="8" t="s">
        <v>57</v>
      </c>
      <c r="F628" s="8" t="s">
        <v>31</v>
      </c>
      <c r="G628" s="10">
        <v>3</v>
      </c>
      <c r="H628" s="11">
        <v>573.85</v>
      </c>
      <c r="I628" s="11">
        <v>1721.55</v>
      </c>
      <c r="J628" s="11">
        <v>1096.1300000000001</v>
      </c>
      <c r="K628" s="11">
        <v>625.41999999999996</v>
      </c>
      <c r="L628" s="8">
        <v>2026</v>
      </c>
      <c r="M628" s="8" t="s">
        <v>36</v>
      </c>
    </row>
    <row r="629" spans="1:13">
      <c r="A629" s="8" t="s">
        <v>693</v>
      </c>
      <c r="B629" s="9">
        <v>46156</v>
      </c>
      <c r="C629" s="8" t="s">
        <v>52</v>
      </c>
      <c r="D629" s="8" t="s">
        <v>29</v>
      </c>
      <c r="E629" s="8" t="s">
        <v>30</v>
      </c>
      <c r="F629" s="8" t="s">
        <v>31</v>
      </c>
      <c r="G629" s="10">
        <v>10</v>
      </c>
      <c r="H629" s="11">
        <v>24.84</v>
      </c>
      <c r="I629" s="11">
        <v>248.4</v>
      </c>
      <c r="J629" s="11">
        <v>103.56</v>
      </c>
      <c r="K629" s="11">
        <v>144.84</v>
      </c>
      <c r="L629" s="8">
        <v>2026</v>
      </c>
      <c r="M629" s="8" t="s">
        <v>50</v>
      </c>
    </row>
    <row r="630" spans="1:13">
      <c r="A630" s="8" t="s">
        <v>694</v>
      </c>
      <c r="B630" s="9">
        <v>45849</v>
      </c>
      <c r="C630" s="8" t="s">
        <v>56</v>
      </c>
      <c r="D630" s="8" t="s">
        <v>38</v>
      </c>
      <c r="E630" s="8" t="s">
        <v>134</v>
      </c>
      <c r="F630" s="8" t="s">
        <v>53</v>
      </c>
      <c r="G630" s="10">
        <v>5</v>
      </c>
      <c r="H630" s="11">
        <v>358.62</v>
      </c>
      <c r="I630" s="11">
        <v>1793.1</v>
      </c>
      <c r="J630" s="11">
        <v>1272.8</v>
      </c>
      <c r="K630" s="11">
        <v>520.29999999999995</v>
      </c>
      <c r="L630" s="8">
        <v>2025</v>
      </c>
      <c r="M630" s="8" t="s">
        <v>69</v>
      </c>
    </row>
    <row r="631" spans="1:13">
      <c r="A631" s="8" t="s">
        <v>695</v>
      </c>
      <c r="B631" s="9">
        <v>46134</v>
      </c>
      <c r="C631" s="8" t="s">
        <v>56</v>
      </c>
      <c r="D631" s="8" t="s">
        <v>38</v>
      </c>
      <c r="E631" s="8" t="s">
        <v>134</v>
      </c>
      <c r="F631" s="8" t="s">
        <v>53</v>
      </c>
      <c r="G631" s="10">
        <v>3</v>
      </c>
      <c r="H631" s="11">
        <v>348.77</v>
      </c>
      <c r="I631" s="11">
        <v>1046.31</v>
      </c>
      <c r="J631" s="11">
        <v>732.15</v>
      </c>
      <c r="K631" s="11">
        <v>314.16000000000003</v>
      </c>
      <c r="L631" s="8">
        <v>2026</v>
      </c>
      <c r="M631" s="8" t="s">
        <v>46</v>
      </c>
    </row>
    <row r="632" spans="1:13">
      <c r="A632" s="8" t="s">
        <v>696</v>
      </c>
      <c r="B632" s="9">
        <v>46046</v>
      </c>
      <c r="C632" s="8" t="s">
        <v>34</v>
      </c>
      <c r="D632" s="8" t="s">
        <v>38</v>
      </c>
      <c r="E632" s="8" t="s">
        <v>61</v>
      </c>
      <c r="F632" s="8" t="s">
        <v>40</v>
      </c>
      <c r="G632" s="10">
        <v>3</v>
      </c>
      <c r="H632" s="11">
        <v>839.95</v>
      </c>
      <c r="I632" s="11">
        <v>2519.85</v>
      </c>
      <c r="J632" s="11">
        <v>1907.59</v>
      </c>
      <c r="K632" s="11">
        <v>612.26</v>
      </c>
      <c r="L632" s="8">
        <v>2026</v>
      </c>
      <c r="M632" s="8" t="s">
        <v>36</v>
      </c>
    </row>
    <row r="633" spans="1:13">
      <c r="A633" s="8" t="s">
        <v>697</v>
      </c>
      <c r="B633" s="9">
        <v>46018</v>
      </c>
      <c r="C633" s="8" t="s">
        <v>56</v>
      </c>
      <c r="D633" s="8" t="s">
        <v>29</v>
      </c>
      <c r="E633" s="8" t="s">
        <v>35</v>
      </c>
      <c r="F633" s="8" t="s">
        <v>74</v>
      </c>
      <c r="G633" s="10">
        <v>10</v>
      </c>
      <c r="H633" s="11">
        <v>45.94</v>
      </c>
      <c r="I633" s="11">
        <v>459.4</v>
      </c>
      <c r="J633" s="11">
        <v>227.03</v>
      </c>
      <c r="K633" s="11">
        <v>232.37</v>
      </c>
      <c r="L633" s="8">
        <v>2025</v>
      </c>
      <c r="M633" s="8" t="s">
        <v>32</v>
      </c>
    </row>
    <row r="634" spans="1:13">
      <c r="A634" s="8" t="s">
        <v>698</v>
      </c>
      <c r="B634" s="9">
        <v>45987</v>
      </c>
      <c r="C634" s="8" t="s">
        <v>28</v>
      </c>
      <c r="D634" s="8" t="s">
        <v>29</v>
      </c>
      <c r="E634" s="8" t="s">
        <v>30</v>
      </c>
      <c r="F634" s="8" t="s">
        <v>45</v>
      </c>
      <c r="G634" s="10">
        <v>9</v>
      </c>
      <c r="H634" s="11">
        <v>27.8</v>
      </c>
      <c r="I634" s="11">
        <v>250.2</v>
      </c>
      <c r="J634" s="11">
        <v>114.24</v>
      </c>
      <c r="K634" s="11">
        <v>135.96</v>
      </c>
      <c r="L634" s="8">
        <v>2025</v>
      </c>
      <c r="M634" s="8" t="s">
        <v>41</v>
      </c>
    </row>
    <row r="635" spans="1:13">
      <c r="A635" s="8" t="s">
        <v>699</v>
      </c>
      <c r="B635" s="9">
        <v>45871</v>
      </c>
      <c r="C635" s="8" t="s">
        <v>52</v>
      </c>
      <c r="D635" s="8" t="s">
        <v>38</v>
      </c>
      <c r="E635" s="8" t="s">
        <v>61</v>
      </c>
      <c r="F635" s="8" t="s">
        <v>74</v>
      </c>
      <c r="G635" s="10">
        <v>4</v>
      </c>
      <c r="H635" s="11">
        <v>888.43</v>
      </c>
      <c r="I635" s="11">
        <v>3553.72</v>
      </c>
      <c r="J635" s="11">
        <v>2690.63</v>
      </c>
      <c r="K635" s="11">
        <v>863.09</v>
      </c>
      <c r="L635" s="8">
        <v>2025</v>
      </c>
      <c r="M635" s="8" t="s">
        <v>62</v>
      </c>
    </row>
    <row r="636" spans="1:13">
      <c r="A636" s="8" t="s">
        <v>700</v>
      </c>
      <c r="B636" s="9">
        <v>45689</v>
      </c>
      <c r="C636" s="8" t="s">
        <v>34</v>
      </c>
      <c r="D636" s="8" t="s">
        <v>38</v>
      </c>
      <c r="E636" s="8" t="s">
        <v>39</v>
      </c>
      <c r="F636" s="8" t="s">
        <v>74</v>
      </c>
      <c r="G636" s="10">
        <v>5</v>
      </c>
      <c r="H636" s="11">
        <v>52.1</v>
      </c>
      <c r="I636" s="11">
        <v>260.5</v>
      </c>
      <c r="J636" s="11">
        <v>117.07</v>
      </c>
      <c r="K636" s="11">
        <v>143.43</v>
      </c>
      <c r="L636" s="8">
        <v>2025</v>
      </c>
      <c r="M636" s="8" t="s">
        <v>83</v>
      </c>
    </row>
    <row r="637" spans="1:13">
      <c r="A637" s="8" t="s">
        <v>701</v>
      </c>
      <c r="B637" s="9">
        <v>46028</v>
      </c>
      <c r="C637" s="8" t="s">
        <v>52</v>
      </c>
      <c r="D637" s="8" t="s">
        <v>38</v>
      </c>
      <c r="E637" s="8" t="s">
        <v>39</v>
      </c>
      <c r="F637" s="8" t="s">
        <v>31</v>
      </c>
      <c r="G637" s="10">
        <v>3</v>
      </c>
      <c r="H637" s="11">
        <v>59.34</v>
      </c>
      <c r="I637" s="11">
        <v>178.02</v>
      </c>
      <c r="J637" s="11">
        <v>74.36</v>
      </c>
      <c r="K637" s="11">
        <v>103.66</v>
      </c>
      <c r="L637" s="8">
        <v>2026</v>
      </c>
      <c r="M637" s="8" t="s">
        <v>36</v>
      </c>
    </row>
    <row r="638" spans="1:13">
      <c r="A638" s="8" t="s">
        <v>702</v>
      </c>
      <c r="B638" s="9">
        <v>45941</v>
      </c>
      <c r="C638" s="8" t="s">
        <v>34</v>
      </c>
      <c r="D638" s="8" t="s">
        <v>29</v>
      </c>
      <c r="E638" s="8" t="s">
        <v>35</v>
      </c>
      <c r="F638" s="8" t="s">
        <v>45</v>
      </c>
      <c r="G638" s="10">
        <v>7</v>
      </c>
      <c r="H638" s="11">
        <v>47.74</v>
      </c>
      <c r="I638" s="11">
        <v>334.18</v>
      </c>
      <c r="J638" s="11">
        <v>154.04</v>
      </c>
      <c r="K638" s="11">
        <v>180.14</v>
      </c>
      <c r="L638" s="8">
        <v>2025</v>
      </c>
      <c r="M638" s="8" t="s">
        <v>58</v>
      </c>
    </row>
    <row r="639" spans="1:13">
      <c r="A639" s="8" t="s">
        <v>703</v>
      </c>
      <c r="B639" s="9">
        <v>45860</v>
      </c>
      <c r="C639" s="8" t="s">
        <v>28</v>
      </c>
      <c r="D639" s="8" t="s">
        <v>38</v>
      </c>
      <c r="E639" s="8" t="s">
        <v>61</v>
      </c>
      <c r="F639" s="8" t="s">
        <v>85</v>
      </c>
      <c r="G639" s="10">
        <v>1</v>
      </c>
      <c r="H639" s="11">
        <v>910.01</v>
      </c>
      <c r="I639" s="11">
        <v>910.01</v>
      </c>
      <c r="J639" s="11">
        <v>723.15</v>
      </c>
      <c r="K639" s="11">
        <v>186.86</v>
      </c>
      <c r="L639" s="8">
        <v>2025</v>
      </c>
      <c r="M639" s="8" t="s">
        <v>69</v>
      </c>
    </row>
    <row r="640" spans="1:13">
      <c r="A640" s="8" t="s">
        <v>704</v>
      </c>
      <c r="B640" s="9">
        <v>45749</v>
      </c>
      <c r="C640" s="8" t="s">
        <v>34</v>
      </c>
      <c r="D640" s="8" t="s">
        <v>43</v>
      </c>
      <c r="E640" s="8" t="s">
        <v>65</v>
      </c>
      <c r="F640" s="8" t="s">
        <v>45</v>
      </c>
      <c r="G640" s="10">
        <v>1</v>
      </c>
      <c r="H640" s="11">
        <v>164.29</v>
      </c>
      <c r="I640" s="11">
        <v>164.29</v>
      </c>
      <c r="J640" s="11">
        <v>92.31</v>
      </c>
      <c r="K640" s="11">
        <v>71.98</v>
      </c>
      <c r="L640" s="8">
        <v>2025</v>
      </c>
      <c r="M640" s="8" t="s">
        <v>46</v>
      </c>
    </row>
    <row r="641" spans="1:13">
      <c r="A641" s="8" t="s">
        <v>705</v>
      </c>
      <c r="B641" s="9">
        <v>45668</v>
      </c>
      <c r="C641" s="8" t="s">
        <v>34</v>
      </c>
      <c r="D641" s="8" t="s">
        <v>43</v>
      </c>
      <c r="E641" s="8" t="s">
        <v>57</v>
      </c>
      <c r="F641" s="8" t="s">
        <v>40</v>
      </c>
      <c r="G641" s="10">
        <v>3</v>
      </c>
      <c r="H641" s="11">
        <v>466.41</v>
      </c>
      <c r="I641" s="11">
        <v>1399.23</v>
      </c>
      <c r="J641" s="11">
        <v>927.52</v>
      </c>
      <c r="K641" s="11">
        <v>471.71</v>
      </c>
      <c r="L641" s="8">
        <v>2025</v>
      </c>
      <c r="M641" s="8" t="s">
        <v>36</v>
      </c>
    </row>
    <row r="642" spans="1:13">
      <c r="A642" s="8" t="s">
        <v>706</v>
      </c>
      <c r="B642" s="9">
        <v>45675</v>
      </c>
      <c r="C642" s="8" t="s">
        <v>56</v>
      </c>
      <c r="D642" s="8" t="s">
        <v>43</v>
      </c>
      <c r="E642" s="8" t="s">
        <v>65</v>
      </c>
      <c r="F642" s="8" t="s">
        <v>53</v>
      </c>
      <c r="G642" s="10">
        <v>3</v>
      </c>
      <c r="H642" s="11">
        <v>189.79</v>
      </c>
      <c r="I642" s="11">
        <v>569.37</v>
      </c>
      <c r="J642" s="11">
        <v>328.31</v>
      </c>
      <c r="K642" s="11">
        <v>241.06</v>
      </c>
      <c r="L642" s="8">
        <v>2025</v>
      </c>
      <c r="M642" s="8" t="s">
        <v>36</v>
      </c>
    </row>
    <row r="643" spans="1:13">
      <c r="A643" s="8" t="s">
        <v>707</v>
      </c>
      <c r="B643" s="9">
        <v>46190</v>
      </c>
      <c r="C643" s="8" t="s">
        <v>28</v>
      </c>
      <c r="D643" s="8" t="s">
        <v>29</v>
      </c>
      <c r="E643" s="8" t="s">
        <v>116</v>
      </c>
      <c r="F643" s="8" t="s">
        <v>85</v>
      </c>
      <c r="G643" s="10">
        <v>4</v>
      </c>
      <c r="H643" s="11">
        <v>17.22</v>
      </c>
      <c r="I643" s="11">
        <v>68.88</v>
      </c>
      <c r="J643" s="11">
        <v>28.36</v>
      </c>
      <c r="K643" s="11">
        <v>40.520000000000003</v>
      </c>
      <c r="L643" s="8">
        <v>2026</v>
      </c>
      <c r="M643" s="8" t="s">
        <v>54</v>
      </c>
    </row>
    <row r="644" spans="1:13">
      <c r="A644" s="8" t="s">
        <v>708</v>
      </c>
      <c r="B644" s="9">
        <v>45788</v>
      </c>
      <c r="C644" s="8" t="s">
        <v>52</v>
      </c>
      <c r="D644" s="8" t="s">
        <v>29</v>
      </c>
      <c r="E644" s="8" t="s">
        <v>35</v>
      </c>
      <c r="F644" s="8" t="s">
        <v>49</v>
      </c>
      <c r="G644" s="10">
        <v>12</v>
      </c>
      <c r="H644" s="11">
        <v>49.52</v>
      </c>
      <c r="I644" s="11">
        <v>594.24</v>
      </c>
      <c r="J644" s="11">
        <v>274.8</v>
      </c>
      <c r="K644" s="11">
        <v>319.44</v>
      </c>
      <c r="L644" s="8">
        <v>2025</v>
      </c>
      <c r="M644" s="8" t="s">
        <v>50</v>
      </c>
    </row>
    <row r="645" spans="1:13">
      <c r="A645" s="8" t="s">
        <v>709</v>
      </c>
      <c r="B645" s="9">
        <v>45663</v>
      </c>
      <c r="C645" s="8" t="s">
        <v>52</v>
      </c>
      <c r="D645" s="8" t="s">
        <v>29</v>
      </c>
      <c r="E645" s="8" t="s">
        <v>116</v>
      </c>
      <c r="F645" s="8" t="s">
        <v>40</v>
      </c>
      <c r="G645" s="10">
        <v>11</v>
      </c>
      <c r="H645" s="11">
        <v>18.03</v>
      </c>
      <c r="I645" s="11">
        <v>198.33</v>
      </c>
      <c r="J645" s="11">
        <v>75.16</v>
      </c>
      <c r="K645" s="11">
        <v>123.17</v>
      </c>
      <c r="L645" s="8">
        <v>2025</v>
      </c>
      <c r="M645" s="8" t="s">
        <v>36</v>
      </c>
    </row>
    <row r="646" spans="1:13">
      <c r="A646" s="8" t="s">
        <v>710</v>
      </c>
      <c r="B646" s="9">
        <v>45781</v>
      </c>
      <c r="C646" s="8" t="s">
        <v>52</v>
      </c>
      <c r="D646" s="8" t="s">
        <v>43</v>
      </c>
      <c r="E646" s="8" t="s">
        <v>94</v>
      </c>
      <c r="F646" s="8" t="s">
        <v>66</v>
      </c>
      <c r="G646" s="10">
        <v>3</v>
      </c>
      <c r="H646" s="11">
        <v>243.04</v>
      </c>
      <c r="I646" s="11">
        <v>729.12</v>
      </c>
      <c r="J646" s="11">
        <v>408.26</v>
      </c>
      <c r="K646" s="11">
        <v>320.86</v>
      </c>
      <c r="L646" s="8">
        <v>2025</v>
      </c>
      <c r="M646" s="8" t="s">
        <v>50</v>
      </c>
    </row>
    <row r="647" spans="1:13">
      <c r="A647" s="8" t="s">
        <v>711</v>
      </c>
      <c r="B647" s="9">
        <v>45850</v>
      </c>
      <c r="C647" s="8" t="s">
        <v>52</v>
      </c>
      <c r="D647" s="8" t="s">
        <v>38</v>
      </c>
      <c r="E647" s="8" t="s">
        <v>61</v>
      </c>
      <c r="F647" s="8" t="s">
        <v>49</v>
      </c>
      <c r="G647" s="10">
        <v>5</v>
      </c>
      <c r="H647" s="11">
        <v>881.23</v>
      </c>
      <c r="I647" s="11">
        <v>4406.1499999999996</v>
      </c>
      <c r="J647" s="11">
        <v>3434.06</v>
      </c>
      <c r="K647" s="11">
        <v>972.09</v>
      </c>
      <c r="L647" s="8">
        <v>2025</v>
      </c>
      <c r="M647" s="8" t="s">
        <v>69</v>
      </c>
    </row>
    <row r="648" spans="1:13">
      <c r="A648" s="8" t="s">
        <v>712</v>
      </c>
      <c r="B648" s="9">
        <v>45758</v>
      </c>
      <c r="C648" s="8" t="s">
        <v>34</v>
      </c>
      <c r="D648" s="8" t="s">
        <v>43</v>
      </c>
      <c r="E648" s="8" t="s">
        <v>94</v>
      </c>
      <c r="F648" s="8" t="s">
        <v>49</v>
      </c>
      <c r="G648" s="10">
        <v>3</v>
      </c>
      <c r="H648" s="11">
        <v>249.1</v>
      </c>
      <c r="I648" s="11">
        <v>747.3</v>
      </c>
      <c r="J648" s="11">
        <v>447.3</v>
      </c>
      <c r="K648" s="11">
        <v>300</v>
      </c>
      <c r="L648" s="8">
        <v>2025</v>
      </c>
      <c r="M648" s="8" t="s">
        <v>46</v>
      </c>
    </row>
    <row r="649" spans="1:13">
      <c r="A649" s="8" t="s">
        <v>713</v>
      </c>
      <c r="B649" s="9">
        <v>45880</v>
      </c>
      <c r="C649" s="8" t="s">
        <v>34</v>
      </c>
      <c r="D649" s="8" t="s">
        <v>43</v>
      </c>
      <c r="E649" s="8" t="s">
        <v>44</v>
      </c>
      <c r="F649" s="8" t="s">
        <v>85</v>
      </c>
      <c r="G649" s="10">
        <v>4</v>
      </c>
      <c r="H649" s="11">
        <v>379.09</v>
      </c>
      <c r="I649" s="11">
        <v>1516.36</v>
      </c>
      <c r="J649" s="11">
        <v>892.09</v>
      </c>
      <c r="K649" s="11">
        <v>624.27</v>
      </c>
      <c r="L649" s="8">
        <v>2025</v>
      </c>
      <c r="M649" s="8" t="s">
        <v>62</v>
      </c>
    </row>
    <row r="650" spans="1:13">
      <c r="A650" s="8" t="s">
        <v>714</v>
      </c>
      <c r="B650" s="9">
        <v>46176</v>
      </c>
      <c r="C650" s="8" t="s">
        <v>28</v>
      </c>
      <c r="D650" s="8" t="s">
        <v>38</v>
      </c>
      <c r="E650" s="8" t="s">
        <v>61</v>
      </c>
      <c r="F650" s="8" t="s">
        <v>49</v>
      </c>
      <c r="G650" s="10">
        <v>2</v>
      </c>
      <c r="H650" s="11">
        <v>1057.3699999999999</v>
      </c>
      <c r="I650" s="11">
        <v>2114.7399999999998</v>
      </c>
      <c r="J650" s="11">
        <v>1560.53</v>
      </c>
      <c r="K650" s="11">
        <v>554.21</v>
      </c>
      <c r="L650" s="8">
        <v>2026</v>
      </c>
      <c r="M650" s="8" t="s">
        <v>54</v>
      </c>
    </row>
    <row r="651" spans="1:13">
      <c r="A651" s="8" t="s">
        <v>715</v>
      </c>
      <c r="B651" s="9">
        <v>45917</v>
      </c>
      <c r="C651" s="8" t="s">
        <v>56</v>
      </c>
      <c r="D651" s="8" t="s">
        <v>43</v>
      </c>
      <c r="E651" s="8" t="s">
        <v>94</v>
      </c>
      <c r="F651" s="8" t="s">
        <v>31</v>
      </c>
      <c r="G651" s="10">
        <v>1</v>
      </c>
      <c r="H651" s="11">
        <v>305.35000000000002</v>
      </c>
      <c r="I651" s="11">
        <v>305.35000000000002</v>
      </c>
      <c r="J651" s="11">
        <v>175.17</v>
      </c>
      <c r="K651" s="11">
        <v>130.18</v>
      </c>
      <c r="L651" s="8">
        <v>2025</v>
      </c>
      <c r="M651" s="8" t="s">
        <v>98</v>
      </c>
    </row>
    <row r="652" spans="1:13">
      <c r="A652" s="8" t="s">
        <v>716</v>
      </c>
      <c r="B652" s="9">
        <v>46102</v>
      </c>
      <c r="C652" s="8" t="s">
        <v>28</v>
      </c>
      <c r="D652" s="8" t="s">
        <v>43</v>
      </c>
      <c r="E652" s="8" t="s">
        <v>44</v>
      </c>
      <c r="F652" s="8" t="s">
        <v>66</v>
      </c>
      <c r="G652" s="10">
        <v>5</v>
      </c>
      <c r="H652" s="11">
        <v>433.12</v>
      </c>
      <c r="I652" s="11">
        <v>2165.6</v>
      </c>
      <c r="J652" s="11">
        <v>1291.0899999999999</v>
      </c>
      <c r="K652" s="11">
        <v>874.51</v>
      </c>
      <c r="L652" s="8">
        <v>2026</v>
      </c>
      <c r="M652" s="8" t="s">
        <v>77</v>
      </c>
    </row>
    <row r="653" spans="1:13">
      <c r="A653" s="8" t="s">
        <v>717</v>
      </c>
      <c r="B653" s="9">
        <v>45685</v>
      </c>
      <c r="C653" s="8" t="s">
        <v>52</v>
      </c>
      <c r="D653" s="8" t="s">
        <v>38</v>
      </c>
      <c r="E653" s="8" t="s">
        <v>39</v>
      </c>
      <c r="F653" s="8" t="s">
        <v>74</v>
      </c>
      <c r="G653" s="10">
        <v>3</v>
      </c>
      <c r="H653" s="11">
        <v>49.64</v>
      </c>
      <c r="I653" s="11">
        <v>148.91999999999999</v>
      </c>
      <c r="J653" s="11">
        <v>60.08</v>
      </c>
      <c r="K653" s="11">
        <v>88.84</v>
      </c>
      <c r="L653" s="8">
        <v>2025</v>
      </c>
      <c r="M653" s="8" t="s">
        <v>36</v>
      </c>
    </row>
    <row r="654" spans="1:13">
      <c r="A654" s="8" t="s">
        <v>718</v>
      </c>
      <c r="B654" s="9">
        <v>45719</v>
      </c>
      <c r="C654" s="8" t="s">
        <v>34</v>
      </c>
      <c r="D654" s="8" t="s">
        <v>29</v>
      </c>
      <c r="E654" s="8" t="s">
        <v>35</v>
      </c>
      <c r="F654" s="8" t="s">
        <v>31</v>
      </c>
      <c r="G654" s="10">
        <v>6</v>
      </c>
      <c r="H654" s="11">
        <v>45.93</v>
      </c>
      <c r="I654" s="11">
        <v>275.58</v>
      </c>
      <c r="J654" s="11">
        <v>133.25</v>
      </c>
      <c r="K654" s="11">
        <v>142.33000000000001</v>
      </c>
      <c r="L654" s="8">
        <v>2025</v>
      </c>
      <c r="M654" s="8" t="s">
        <v>77</v>
      </c>
    </row>
    <row r="655" spans="1:13">
      <c r="A655" s="8" t="s">
        <v>719</v>
      </c>
      <c r="B655" s="9">
        <v>46201</v>
      </c>
      <c r="C655" s="8" t="s">
        <v>52</v>
      </c>
      <c r="D655" s="8" t="s">
        <v>43</v>
      </c>
      <c r="E655" s="8" t="s">
        <v>57</v>
      </c>
      <c r="F655" s="8" t="s">
        <v>85</v>
      </c>
      <c r="G655" s="10">
        <v>3</v>
      </c>
      <c r="H655" s="11">
        <v>539.85</v>
      </c>
      <c r="I655" s="11">
        <v>1619.55</v>
      </c>
      <c r="J655" s="11">
        <v>1036.95</v>
      </c>
      <c r="K655" s="11">
        <v>582.6</v>
      </c>
      <c r="L655" s="8">
        <v>2026</v>
      </c>
      <c r="M655" s="8" t="s">
        <v>54</v>
      </c>
    </row>
    <row r="656" spans="1:13">
      <c r="A656" s="8" t="s">
        <v>720</v>
      </c>
      <c r="B656" s="9">
        <v>45920</v>
      </c>
      <c r="C656" s="8" t="s">
        <v>28</v>
      </c>
      <c r="D656" s="8" t="s">
        <v>38</v>
      </c>
      <c r="E656" s="8" t="s">
        <v>39</v>
      </c>
      <c r="F656" s="8" t="s">
        <v>45</v>
      </c>
      <c r="G656" s="10">
        <v>2</v>
      </c>
      <c r="H656" s="11">
        <v>60.02</v>
      </c>
      <c r="I656" s="11">
        <v>120.04</v>
      </c>
      <c r="J656" s="11">
        <v>53.78</v>
      </c>
      <c r="K656" s="11">
        <v>66.260000000000005</v>
      </c>
      <c r="L656" s="8">
        <v>2025</v>
      </c>
      <c r="M656" s="8" t="s">
        <v>98</v>
      </c>
    </row>
    <row r="657" spans="1:13">
      <c r="A657" s="8" t="s">
        <v>721</v>
      </c>
      <c r="B657" s="9">
        <v>46130</v>
      </c>
      <c r="C657" s="8" t="s">
        <v>56</v>
      </c>
      <c r="D657" s="8" t="s">
        <v>43</v>
      </c>
      <c r="E657" s="8" t="s">
        <v>94</v>
      </c>
      <c r="F657" s="8" t="s">
        <v>53</v>
      </c>
      <c r="G657" s="10">
        <v>1</v>
      </c>
      <c r="H657" s="11">
        <v>258.19</v>
      </c>
      <c r="I657" s="11">
        <v>258.19</v>
      </c>
      <c r="J657" s="11">
        <v>159.09</v>
      </c>
      <c r="K657" s="11">
        <v>99.1</v>
      </c>
      <c r="L657" s="8">
        <v>2026</v>
      </c>
      <c r="M657" s="8" t="s">
        <v>46</v>
      </c>
    </row>
    <row r="658" spans="1:13">
      <c r="A658" s="8" t="s">
        <v>722</v>
      </c>
      <c r="B658" s="9">
        <v>46030</v>
      </c>
      <c r="C658" s="8" t="s">
        <v>56</v>
      </c>
      <c r="D658" s="8" t="s">
        <v>29</v>
      </c>
      <c r="E658" s="8" t="s">
        <v>116</v>
      </c>
      <c r="F658" s="8" t="s">
        <v>49</v>
      </c>
      <c r="G658" s="10">
        <v>10</v>
      </c>
      <c r="H658" s="11">
        <v>20.51</v>
      </c>
      <c r="I658" s="11">
        <v>205.1</v>
      </c>
      <c r="J658" s="11">
        <v>87.44</v>
      </c>
      <c r="K658" s="11">
        <v>117.66</v>
      </c>
      <c r="L658" s="8">
        <v>2026</v>
      </c>
      <c r="M658" s="8" t="s">
        <v>36</v>
      </c>
    </row>
    <row r="659" spans="1:13">
      <c r="A659" s="8" t="s">
        <v>723</v>
      </c>
      <c r="B659" s="9">
        <v>46056</v>
      </c>
      <c r="C659" s="8" t="s">
        <v>56</v>
      </c>
      <c r="D659" s="8" t="s">
        <v>29</v>
      </c>
      <c r="E659" s="8" t="s">
        <v>35</v>
      </c>
      <c r="F659" s="8" t="s">
        <v>53</v>
      </c>
      <c r="G659" s="10">
        <v>11</v>
      </c>
      <c r="H659" s="11">
        <v>46.04</v>
      </c>
      <c r="I659" s="11">
        <v>506.44</v>
      </c>
      <c r="J659" s="11">
        <v>251.05</v>
      </c>
      <c r="K659" s="11">
        <v>255.39</v>
      </c>
      <c r="L659" s="8">
        <v>2026</v>
      </c>
      <c r="M659" s="8" t="s">
        <v>83</v>
      </c>
    </row>
    <row r="660" spans="1:13">
      <c r="A660" s="8" t="s">
        <v>724</v>
      </c>
      <c r="B660" s="9">
        <v>46205</v>
      </c>
      <c r="C660" s="8" t="s">
        <v>56</v>
      </c>
      <c r="D660" s="8" t="s">
        <v>43</v>
      </c>
      <c r="E660" s="8" t="s">
        <v>65</v>
      </c>
      <c r="F660" s="8" t="s">
        <v>53</v>
      </c>
      <c r="G660" s="10">
        <v>5</v>
      </c>
      <c r="H660" s="11">
        <v>161.05000000000001</v>
      </c>
      <c r="I660" s="11">
        <v>805.25</v>
      </c>
      <c r="J660" s="11">
        <v>450.36</v>
      </c>
      <c r="K660" s="11">
        <v>354.89</v>
      </c>
      <c r="L660" s="8">
        <v>2026</v>
      </c>
      <c r="M660" s="8" t="s">
        <v>69</v>
      </c>
    </row>
    <row r="661" spans="1:13">
      <c r="A661" s="8" t="s">
        <v>725</v>
      </c>
      <c r="B661" s="9">
        <v>46214</v>
      </c>
      <c r="C661" s="8" t="s">
        <v>52</v>
      </c>
      <c r="D661" s="8" t="s">
        <v>29</v>
      </c>
      <c r="E661" s="8" t="s">
        <v>76</v>
      </c>
      <c r="F661" s="8" t="s">
        <v>45</v>
      </c>
      <c r="G661" s="10">
        <v>6</v>
      </c>
      <c r="H661" s="11">
        <v>10.48</v>
      </c>
      <c r="I661" s="11">
        <v>62.88</v>
      </c>
      <c r="J661" s="11">
        <v>24.64</v>
      </c>
      <c r="K661" s="11">
        <v>38.24</v>
      </c>
      <c r="L661" s="8">
        <v>2026</v>
      </c>
      <c r="M661" s="8" t="s">
        <v>69</v>
      </c>
    </row>
    <row r="662" spans="1:13">
      <c r="A662" s="8" t="s">
        <v>726</v>
      </c>
      <c r="B662" s="9">
        <v>45949</v>
      </c>
      <c r="C662" s="8" t="s">
        <v>52</v>
      </c>
      <c r="D662" s="8" t="s">
        <v>38</v>
      </c>
      <c r="E662" s="8" t="s">
        <v>134</v>
      </c>
      <c r="F662" s="8" t="s">
        <v>74</v>
      </c>
      <c r="G662" s="10">
        <v>5</v>
      </c>
      <c r="H662" s="11">
        <v>348.37</v>
      </c>
      <c r="I662" s="11">
        <v>1741.85</v>
      </c>
      <c r="J662" s="11">
        <v>1198.0899999999999</v>
      </c>
      <c r="K662" s="11">
        <v>543.76</v>
      </c>
      <c r="L662" s="8">
        <v>2025</v>
      </c>
      <c r="M662" s="8" t="s">
        <v>58</v>
      </c>
    </row>
    <row r="663" spans="1:13">
      <c r="A663" s="8" t="s">
        <v>727</v>
      </c>
      <c r="B663" s="9">
        <v>46237</v>
      </c>
      <c r="C663" s="8" t="s">
        <v>28</v>
      </c>
      <c r="D663" s="8" t="s">
        <v>29</v>
      </c>
      <c r="E663" s="8" t="s">
        <v>35</v>
      </c>
      <c r="F663" s="8" t="s">
        <v>40</v>
      </c>
      <c r="G663" s="10">
        <v>9</v>
      </c>
      <c r="H663" s="11">
        <v>39.92</v>
      </c>
      <c r="I663" s="11">
        <v>359.28</v>
      </c>
      <c r="J663" s="11">
        <v>175.46</v>
      </c>
      <c r="K663" s="11">
        <v>183.82</v>
      </c>
      <c r="L663" s="8">
        <v>2026</v>
      </c>
      <c r="M663" s="8" t="s">
        <v>62</v>
      </c>
    </row>
    <row r="664" spans="1:13">
      <c r="A664" s="8" t="s">
        <v>728</v>
      </c>
      <c r="B664" s="9">
        <v>45888</v>
      </c>
      <c r="C664" s="8" t="s">
        <v>56</v>
      </c>
      <c r="D664" s="8" t="s">
        <v>38</v>
      </c>
      <c r="E664" s="8" t="s">
        <v>39</v>
      </c>
      <c r="F664" s="8" t="s">
        <v>31</v>
      </c>
      <c r="G664" s="10">
        <v>5</v>
      </c>
      <c r="H664" s="11">
        <v>49.95</v>
      </c>
      <c r="I664" s="11">
        <v>249.75</v>
      </c>
      <c r="J664" s="11">
        <v>114.75</v>
      </c>
      <c r="K664" s="11">
        <v>135</v>
      </c>
      <c r="L664" s="8">
        <v>2025</v>
      </c>
      <c r="M664" s="8" t="s">
        <v>62</v>
      </c>
    </row>
    <row r="665" spans="1:13">
      <c r="A665" s="8" t="s">
        <v>729</v>
      </c>
      <c r="B665" s="9">
        <v>45672</v>
      </c>
      <c r="C665" s="8" t="s">
        <v>56</v>
      </c>
      <c r="D665" s="8" t="s">
        <v>43</v>
      </c>
      <c r="E665" s="8" t="s">
        <v>57</v>
      </c>
      <c r="F665" s="8" t="s">
        <v>49</v>
      </c>
      <c r="G665" s="10">
        <v>2</v>
      </c>
      <c r="H665" s="11">
        <v>555.15</v>
      </c>
      <c r="I665" s="11">
        <v>1110.3</v>
      </c>
      <c r="J665" s="11">
        <v>713.32</v>
      </c>
      <c r="K665" s="11">
        <v>396.98</v>
      </c>
      <c r="L665" s="8">
        <v>2025</v>
      </c>
      <c r="M665" s="8" t="s">
        <v>36</v>
      </c>
    </row>
    <row r="666" spans="1:13">
      <c r="A666" s="8" t="s">
        <v>730</v>
      </c>
      <c r="B666" s="9">
        <v>46044</v>
      </c>
      <c r="C666" s="8" t="s">
        <v>28</v>
      </c>
      <c r="D666" s="8" t="s">
        <v>43</v>
      </c>
      <c r="E666" s="8" t="s">
        <v>44</v>
      </c>
      <c r="F666" s="8" t="s">
        <v>40</v>
      </c>
      <c r="G666" s="10">
        <v>5</v>
      </c>
      <c r="H666" s="11">
        <v>444.15</v>
      </c>
      <c r="I666" s="11">
        <v>2220.75</v>
      </c>
      <c r="J666" s="11">
        <v>1354.66</v>
      </c>
      <c r="K666" s="11">
        <v>866.09</v>
      </c>
      <c r="L666" s="8">
        <v>2026</v>
      </c>
      <c r="M666" s="8" t="s">
        <v>36</v>
      </c>
    </row>
    <row r="667" spans="1:13">
      <c r="A667" s="8" t="s">
        <v>731</v>
      </c>
      <c r="B667" s="9">
        <v>45777</v>
      </c>
      <c r="C667" s="8" t="s">
        <v>52</v>
      </c>
      <c r="D667" s="8" t="s">
        <v>38</v>
      </c>
      <c r="E667" s="8" t="s">
        <v>134</v>
      </c>
      <c r="F667" s="8" t="s">
        <v>31</v>
      </c>
      <c r="G667" s="10">
        <v>3</v>
      </c>
      <c r="H667" s="11">
        <v>291.27999999999997</v>
      </c>
      <c r="I667" s="11">
        <v>873.84</v>
      </c>
      <c r="J667" s="11">
        <v>596.6</v>
      </c>
      <c r="K667" s="11">
        <v>277.24</v>
      </c>
      <c r="L667" s="8">
        <v>2025</v>
      </c>
      <c r="M667" s="8" t="s">
        <v>46</v>
      </c>
    </row>
    <row r="668" spans="1:13">
      <c r="A668" s="8" t="s">
        <v>732</v>
      </c>
      <c r="B668" s="9">
        <v>45897</v>
      </c>
      <c r="C668" s="8" t="s">
        <v>34</v>
      </c>
      <c r="D668" s="8" t="s">
        <v>38</v>
      </c>
      <c r="E668" s="8" t="s">
        <v>61</v>
      </c>
      <c r="F668" s="8" t="s">
        <v>66</v>
      </c>
      <c r="G668" s="10">
        <v>3</v>
      </c>
      <c r="H668" s="11">
        <v>995.78</v>
      </c>
      <c r="I668" s="11">
        <v>2987.34</v>
      </c>
      <c r="J668" s="11">
        <v>2299.54</v>
      </c>
      <c r="K668" s="11">
        <v>687.8</v>
      </c>
      <c r="L668" s="8">
        <v>2025</v>
      </c>
      <c r="M668" s="8" t="s">
        <v>62</v>
      </c>
    </row>
    <row r="669" spans="1:13">
      <c r="A669" s="8" t="s">
        <v>733</v>
      </c>
      <c r="B669" s="9">
        <v>46224</v>
      </c>
      <c r="C669" s="8" t="s">
        <v>52</v>
      </c>
      <c r="D669" s="8" t="s">
        <v>43</v>
      </c>
      <c r="E669" s="8" t="s">
        <v>94</v>
      </c>
      <c r="F669" s="8" t="s">
        <v>31</v>
      </c>
      <c r="G669" s="10">
        <v>3</v>
      </c>
      <c r="H669" s="11">
        <v>269.23</v>
      </c>
      <c r="I669" s="11">
        <v>807.69</v>
      </c>
      <c r="J669" s="11">
        <v>471.27</v>
      </c>
      <c r="K669" s="11">
        <v>336.42</v>
      </c>
      <c r="L669" s="8">
        <v>2026</v>
      </c>
      <c r="M669" s="8" t="s">
        <v>69</v>
      </c>
    </row>
    <row r="670" spans="1:13">
      <c r="A670" s="8" t="s">
        <v>734</v>
      </c>
      <c r="B670" s="9">
        <v>46238</v>
      </c>
      <c r="C670" s="8" t="s">
        <v>28</v>
      </c>
      <c r="D670" s="8" t="s">
        <v>29</v>
      </c>
      <c r="E670" s="8" t="s">
        <v>116</v>
      </c>
      <c r="F670" s="8" t="s">
        <v>45</v>
      </c>
      <c r="G670" s="10">
        <v>1</v>
      </c>
      <c r="H670" s="11">
        <v>17.649999999999999</v>
      </c>
      <c r="I670" s="11">
        <v>17.649999999999999</v>
      </c>
      <c r="J670" s="11">
        <v>6.98</v>
      </c>
      <c r="K670" s="11">
        <v>10.67</v>
      </c>
      <c r="L670" s="8">
        <v>2026</v>
      </c>
      <c r="M670" s="8" t="s">
        <v>62</v>
      </c>
    </row>
    <row r="671" spans="1:13">
      <c r="A671" s="8" t="s">
        <v>735</v>
      </c>
      <c r="B671" s="9">
        <v>45668</v>
      </c>
      <c r="C671" s="8" t="s">
        <v>56</v>
      </c>
      <c r="D671" s="8" t="s">
        <v>43</v>
      </c>
      <c r="E671" s="8" t="s">
        <v>94</v>
      </c>
      <c r="F671" s="8" t="s">
        <v>53</v>
      </c>
      <c r="G671" s="10">
        <v>5</v>
      </c>
      <c r="H671" s="11">
        <v>298.67</v>
      </c>
      <c r="I671" s="11">
        <v>1493.35</v>
      </c>
      <c r="J671" s="11">
        <v>867.8</v>
      </c>
      <c r="K671" s="11">
        <v>625.54999999999995</v>
      </c>
      <c r="L671" s="8">
        <v>2025</v>
      </c>
      <c r="M671" s="8" t="s">
        <v>36</v>
      </c>
    </row>
    <row r="672" spans="1:13">
      <c r="A672" s="8" t="s">
        <v>736</v>
      </c>
      <c r="B672" s="9">
        <v>46233</v>
      </c>
      <c r="C672" s="8" t="s">
        <v>28</v>
      </c>
      <c r="D672" s="8" t="s">
        <v>29</v>
      </c>
      <c r="E672" s="8" t="s">
        <v>35</v>
      </c>
      <c r="F672" s="8" t="s">
        <v>40</v>
      </c>
      <c r="G672" s="10">
        <v>2</v>
      </c>
      <c r="H672" s="11">
        <v>50.12</v>
      </c>
      <c r="I672" s="11">
        <v>100.24</v>
      </c>
      <c r="J672" s="11">
        <v>49.5</v>
      </c>
      <c r="K672" s="11">
        <v>50.74</v>
      </c>
      <c r="L672" s="8">
        <v>2026</v>
      </c>
      <c r="M672" s="8" t="s">
        <v>69</v>
      </c>
    </row>
    <row r="673" spans="1:13">
      <c r="A673" s="8" t="s">
        <v>737</v>
      </c>
      <c r="B673" s="9">
        <v>45807</v>
      </c>
      <c r="C673" s="8" t="s">
        <v>28</v>
      </c>
      <c r="D673" s="8" t="s">
        <v>38</v>
      </c>
      <c r="E673" s="8" t="s">
        <v>39</v>
      </c>
      <c r="F673" s="8" t="s">
        <v>66</v>
      </c>
      <c r="G673" s="10">
        <v>5</v>
      </c>
      <c r="H673" s="11">
        <v>55.7</v>
      </c>
      <c r="I673" s="11">
        <v>278.5</v>
      </c>
      <c r="J673" s="11">
        <v>127.08</v>
      </c>
      <c r="K673" s="11">
        <v>151.41999999999999</v>
      </c>
      <c r="L673" s="8">
        <v>2025</v>
      </c>
      <c r="M673" s="8" t="s">
        <v>50</v>
      </c>
    </row>
    <row r="674" spans="1:13">
      <c r="A674" s="8" t="s">
        <v>738</v>
      </c>
      <c r="B674" s="9">
        <v>45938</v>
      </c>
      <c r="C674" s="8" t="s">
        <v>52</v>
      </c>
      <c r="D674" s="8" t="s">
        <v>29</v>
      </c>
      <c r="E674" s="8" t="s">
        <v>30</v>
      </c>
      <c r="F674" s="8" t="s">
        <v>45</v>
      </c>
      <c r="G674" s="10">
        <v>4</v>
      </c>
      <c r="H674" s="11">
        <v>22.33</v>
      </c>
      <c r="I674" s="11">
        <v>89.32</v>
      </c>
      <c r="J674" s="11">
        <v>37.46</v>
      </c>
      <c r="K674" s="11">
        <v>51.86</v>
      </c>
      <c r="L674" s="8">
        <v>2025</v>
      </c>
      <c r="M674" s="8" t="s">
        <v>58</v>
      </c>
    </row>
    <row r="675" spans="1:13">
      <c r="A675" s="8" t="s">
        <v>739</v>
      </c>
      <c r="B675" s="9">
        <v>45722</v>
      </c>
      <c r="C675" s="8" t="s">
        <v>52</v>
      </c>
      <c r="D675" s="8" t="s">
        <v>29</v>
      </c>
      <c r="E675" s="8" t="s">
        <v>116</v>
      </c>
      <c r="F675" s="8" t="s">
        <v>49</v>
      </c>
      <c r="G675" s="10">
        <v>2</v>
      </c>
      <c r="H675" s="11">
        <v>20.45</v>
      </c>
      <c r="I675" s="11">
        <v>40.9</v>
      </c>
      <c r="J675" s="11">
        <v>14.57</v>
      </c>
      <c r="K675" s="11">
        <v>26.33</v>
      </c>
      <c r="L675" s="8">
        <v>2025</v>
      </c>
      <c r="M675" s="8" t="s">
        <v>77</v>
      </c>
    </row>
    <row r="676" spans="1:13">
      <c r="A676" s="8" t="s">
        <v>740</v>
      </c>
      <c r="B676" s="9">
        <v>46107</v>
      </c>
      <c r="C676" s="8" t="s">
        <v>56</v>
      </c>
      <c r="D676" s="8" t="s">
        <v>43</v>
      </c>
      <c r="E676" s="8" t="s">
        <v>57</v>
      </c>
      <c r="F676" s="8" t="s">
        <v>49</v>
      </c>
      <c r="G676" s="10">
        <v>1</v>
      </c>
      <c r="H676" s="11">
        <v>547.28</v>
      </c>
      <c r="I676" s="11">
        <v>547.28</v>
      </c>
      <c r="J676" s="11">
        <v>361.84</v>
      </c>
      <c r="K676" s="11">
        <v>185.44</v>
      </c>
      <c r="L676" s="8">
        <v>2026</v>
      </c>
      <c r="M676" s="8" t="s">
        <v>77</v>
      </c>
    </row>
    <row r="677" spans="1:13">
      <c r="A677" s="8" t="s">
        <v>741</v>
      </c>
      <c r="B677" s="9">
        <v>45989</v>
      </c>
      <c r="C677" s="8" t="s">
        <v>52</v>
      </c>
      <c r="D677" s="8" t="s">
        <v>43</v>
      </c>
      <c r="E677" s="8" t="s">
        <v>94</v>
      </c>
      <c r="F677" s="8" t="s">
        <v>31</v>
      </c>
      <c r="G677" s="10">
        <v>5</v>
      </c>
      <c r="H677" s="11">
        <v>296.31</v>
      </c>
      <c r="I677" s="11">
        <v>1481.55</v>
      </c>
      <c r="J677" s="11">
        <v>891.76</v>
      </c>
      <c r="K677" s="11">
        <v>589.79</v>
      </c>
      <c r="L677" s="8">
        <v>2025</v>
      </c>
      <c r="M677" s="8" t="s">
        <v>41</v>
      </c>
    </row>
    <row r="678" spans="1:13">
      <c r="A678" s="8" t="s">
        <v>742</v>
      </c>
      <c r="B678" s="9">
        <v>45862</v>
      </c>
      <c r="C678" s="8" t="s">
        <v>34</v>
      </c>
      <c r="D678" s="8" t="s">
        <v>43</v>
      </c>
      <c r="E678" s="8" t="s">
        <v>57</v>
      </c>
      <c r="F678" s="8" t="s">
        <v>85</v>
      </c>
      <c r="G678" s="10">
        <v>4</v>
      </c>
      <c r="H678" s="11">
        <v>519.83000000000004</v>
      </c>
      <c r="I678" s="11">
        <v>2079.3200000000002</v>
      </c>
      <c r="J678" s="11">
        <v>1286.45</v>
      </c>
      <c r="K678" s="11">
        <v>792.87</v>
      </c>
      <c r="L678" s="8">
        <v>2025</v>
      </c>
      <c r="M678" s="8" t="s">
        <v>69</v>
      </c>
    </row>
    <row r="679" spans="1:13">
      <c r="A679" s="8" t="s">
        <v>743</v>
      </c>
      <c r="B679" s="9">
        <v>46086</v>
      </c>
      <c r="C679" s="8" t="s">
        <v>34</v>
      </c>
      <c r="D679" s="8" t="s">
        <v>38</v>
      </c>
      <c r="E679" s="8" t="s">
        <v>134</v>
      </c>
      <c r="F679" s="8" t="s">
        <v>49</v>
      </c>
      <c r="G679" s="10">
        <v>3</v>
      </c>
      <c r="H679" s="11">
        <v>353.73</v>
      </c>
      <c r="I679" s="11">
        <v>1061.19</v>
      </c>
      <c r="J679" s="11">
        <v>773.64</v>
      </c>
      <c r="K679" s="11">
        <v>287.55</v>
      </c>
      <c r="L679" s="8">
        <v>2026</v>
      </c>
      <c r="M679" s="8" t="s">
        <v>77</v>
      </c>
    </row>
    <row r="680" spans="1:13">
      <c r="A680" s="8" t="s">
        <v>744</v>
      </c>
      <c r="B680" s="9">
        <v>45800</v>
      </c>
      <c r="C680" s="8" t="s">
        <v>28</v>
      </c>
      <c r="D680" s="8" t="s">
        <v>29</v>
      </c>
      <c r="E680" s="8" t="s">
        <v>76</v>
      </c>
      <c r="F680" s="8" t="s">
        <v>45</v>
      </c>
      <c r="G680" s="10">
        <v>9</v>
      </c>
      <c r="H680" s="11">
        <v>10.79</v>
      </c>
      <c r="I680" s="11">
        <v>97.11</v>
      </c>
      <c r="J680" s="11">
        <v>31.3</v>
      </c>
      <c r="K680" s="11">
        <v>65.81</v>
      </c>
      <c r="L680" s="8">
        <v>2025</v>
      </c>
      <c r="M680" s="8" t="s">
        <v>50</v>
      </c>
    </row>
    <row r="681" spans="1:13">
      <c r="A681" s="8" t="s">
        <v>745</v>
      </c>
      <c r="B681" s="9">
        <v>46114</v>
      </c>
      <c r="C681" s="8" t="s">
        <v>28</v>
      </c>
      <c r="D681" s="8" t="s">
        <v>29</v>
      </c>
      <c r="E681" s="8" t="s">
        <v>30</v>
      </c>
      <c r="F681" s="8" t="s">
        <v>45</v>
      </c>
      <c r="G681" s="10">
        <v>12</v>
      </c>
      <c r="H681" s="11">
        <v>23.88</v>
      </c>
      <c r="I681" s="11">
        <v>286.56</v>
      </c>
      <c r="J681" s="11">
        <v>116.95</v>
      </c>
      <c r="K681" s="11">
        <v>169.61</v>
      </c>
      <c r="L681" s="8">
        <v>2026</v>
      </c>
      <c r="M681" s="8" t="s">
        <v>46</v>
      </c>
    </row>
    <row r="682" spans="1:13">
      <c r="A682" s="8" t="s">
        <v>746</v>
      </c>
      <c r="B682" s="9">
        <v>46035</v>
      </c>
      <c r="C682" s="8" t="s">
        <v>52</v>
      </c>
      <c r="D682" s="8" t="s">
        <v>29</v>
      </c>
      <c r="E682" s="8" t="s">
        <v>30</v>
      </c>
      <c r="F682" s="8" t="s">
        <v>45</v>
      </c>
      <c r="G682" s="10">
        <v>12</v>
      </c>
      <c r="H682" s="11">
        <v>25.91</v>
      </c>
      <c r="I682" s="11">
        <v>310.92</v>
      </c>
      <c r="J682" s="11">
        <v>140.56</v>
      </c>
      <c r="K682" s="11">
        <v>170.36</v>
      </c>
      <c r="L682" s="8">
        <v>2026</v>
      </c>
      <c r="M682" s="8" t="s">
        <v>36</v>
      </c>
    </row>
    <row r="683" spans="1:13">
      <c r="A683" s="8" t="s">
        <v>747</v>
      </c>
      <c r="B683" s="9">
        <v>46178</v>
      </c>
      <c r="C683" s="8" t="s">
        <v>28</v>
      </c>
      <c r="D683" s="8" t="s">
        <v>29</v>
      </c>
      <c r="E683" s="8" t="s">
        <v>30</v>
      </c>
      <c r="F683" s="8" t="s">
        <v>53</v>
      </c>
      <c r="G683" s="10">
        <v>5</v>
      </c>
      <c r="H683" s="11">
        <v>24.24</v>
      </c>
      <c r="I683" s="11">
        <v>121.2</v>
      </c>
      <c r="J683" s="11">
        <v>50.16</v>
      </c>
      <c r="K683" s="11">
        <v>71.040000000000006</v>
      </c>
      <c r="L683" s="8">
        <v>2026</v>
      </c>
      <c r="M683" s="8" t="s">
        <v>54</v>
      </c>
    </row>
    <row r="684" spans="1:13">
      <c r="A684" s="8" t="s">
        <v>748</v>
      </c>
      <c r="B684" s="9">
        <v>46037</v>
      </c>
      <c r="C684" s="8" t="s">
        <v>34</v>
      </c>
      <c r="D684" s="8" t="s">
        <v>38</v>
      </c>
      <c r="E684" s="8" t="s">
        <v>48</v>
      </c>
      <c r="F684" s="8" t="s">
        <v>40</v>
      </c>
      <c r="G684" s="10">
        <v>2</v>
      </c>
      <c r="H684" s="11">
        <v>236.05</v>
      </c>
      <c r="I684" s="11">
        <v>472.1</v>
      </c>
      <c r="J684" s="11">
        <v>313.25</v>
      </c>
      <c r="K684" s="11">
        <v>158.85</v>
      </c>
      <c r="L684" s="8">
        <v>2026</v>
      </c>
      <c r="M684" s="8" t="s">
        <v>36</v>
      </c>
    </row>
    <row r="685" spans="1:13">
      <c r="A685" s="8" t="s">
        <v>749</v>
      </c>
      <c r="B685" s="9">
        <v>45907</v>
      </c>
      <c r="C685" s="8" t="s">
        <v>28</v>
      </c>
      <c r="D685" s="8" t="s">
        <v>29</v>
      </c>
      <c r="E685" s="8" t="s">
        <v>30</v>
      </c>
      <c r="F685" s="8" t="s">
        <v>85</v>
      </c>
      <c r="G685" s="10">
        <v>2</v>
      </c>
      <c r="H685" s="11">
        <v>23.51</v>
      </c>
      <c r="I685" s="11">
        <v>47.02</v>
      </c>
      <c r="J685" s="11">
        <v>18.579999999999998</v>
      </c>
      <c r="K685" s="11">
        <v>28.44</v>
      </c>
      <c r="L685" s="8">
        <v>2025</v>
      </c>
      <c r="M685" s="8" t="s">
        <v>98</v>
      </c>
    </row>
    <row r="686" spans="1:13">
      <c r="A686" s="8" t="s">
        <v>750</v>
      </c>
      <c r="B686" s="9">
        <v>46149</v>
      </c>
      <c r="C686" s="8" t="s">
        <v>56</v>
      </c>
      <c r="D686" s="8" t="s">
        <v>29</v>
      </c>
      <c r="E686" s="8" t="s">
        <v>116</v>
      </c>
      <c r="F686" s="8" t="s">
        <v>74</v>
      </c>
      <c r="G686" s="10">
        <v>4</v>
      </c>
      <c r="H686" s="11">
        <v>20.3</v>
      </c>
      <c r="I686" s="11">
        <v>81.2</v>
      </c>
      <c r="J686" s="11">
        <v>32.909999999999997</v>
      </c>
      <c r="K686" s="11">
        <v>48.29</v>
      </c>
      <c r="L686" s="8">
        <v>2026</v>
      </c>
      <c r="M686" s="8" t="s">
        <v>50</v>
      </c>
    </row>
    <row r="687" spans="1:13">
      <c r="A687" s="8" t="s">
        <v>751</v>
      </c>
      <c r="B687" s="9">
        <v>46123</v>
      </c>
      <c r="C687" s="8" t="s">
        <v>56</v>
      </c>
      <c r="D687" s="8" t="s">
        <v>38</v>
      </c>
      <c r="E687" s="8" t="s">
        <v>134</v>
      </c>
      <c r="F687" s="8" t="s">
        <v>53</v>
      </c>
      <c r="G687" s="10">
        <v>2</v>
      </c>
      <c r="H687" s="11">
        <v>333.08</v>
      </c>
      <c r="I687" s="11">
        <v>666.16</v>
      </c>
      <c r="J687" s="11">
        <v>491.3</v>
      </c>
      <c r="K687" s="11">
        <v>174.86</v>
      </c>
      <c r="L687" s="8">
        <v>2026</v>
      </c>
      <c r="M687" s="8" t="s">
        <v>46</v>
      </c>
    </row>
    <row r="688" spans="1:13">
      <c r="A688" s="8" t="s">
        <v>752</v>
      </c>
      <c r="B688" s="9">
        <v>46240</v>
      </c>
      <c r="C688" s="8" t="s">
        <v>34</v>
      </c>
      <c r="D688" s="8" t="s">
        <v>29</v>
      </c>
      <c r="E688" s="8" t="s">
        <v>76</v>
      </c>
      <c r="F688" s="8" t="s">
        <v>49</v>
      </c>
      <c r="G688" s="10">
        <v>7</v>
      </c>
      <c r="H688" s="11">
        <v>10.49</v>
      </c>
      <c r="I688" s="11">
        <v>73.430000000000007</v>
      </c>
      <c r="J688" s="11">
        <v>25.73</v>
      </c>
      <c r="K688" s="11">
        <v>47.7</v>
      </c>
      <c r="L688" s="8">
        <v>2026</v>
      </c>
      <c r="M688" s="8" t="s">
        <v>62</v>
      </c>
    </row>
    <row r="689" spans="1:13">
      <c r="A689" s="8" t="s">
        <v>753</v>
      </c>
      <c r="B689" s="9">
        <v>46181</v>
      </c>
      <c r="C689" s="8" t="s">
        <v>56</v>
      </c>
      <c r="D689" s="8" t="s">
        <v>38</v>
      </c>
      <c r="E689" s="8" t="s">
        <v>134</v>
      </c>
      <c r="F689" s="8" t="s">
        <v>53</v>
      </c>
      <c r="G689" s="10">
        <v>1</v>
      </c>
      <c r="H689" s="11">
        <v>287.47000000000003</v>
      </c>
      <c r="I689" s="11">
        <v>287.47000000000003</v>
      </c>
      <c r="J689" s="11">
        <v>216.3</v>
      </c>
      <c r="K689" s="11">
        <v>71.17</v>
      </c>
      <c r="L689" s="8">
        <v>2026</v>
      </c>
      <c r="M689" s="8" t="s">
        <v>54</v>
      </c>
    </row>
    <row r="690" spans="1:13">
      <c r="A690" s="8" t="s">
        <v>754</v>
      </c>
      <c r="B690" s="9">
        <v>46104</v>
      </c>
      <c r="C690" s="8" t="s">
        <v>56</v>
      </c>
      <c r="D690" s="8" t="s">
        <v>43</v>
      </c>
      <c r="E690" s="8" t="s">
        <v>44</v>
      </c>
      <c r="F690" s="8" t="s">
        <v>85</v>
      </c>
      <c r="G690" s="10">
        <v>3</v>
      </c>
      <c r="H690" s="11">
        <v>440.35</v>
      </c>
      <c r="I690" s="11">
        <v>1321.05</v>
      </c>
      <c r="J690" s="11">
        <v>809</v>
      </c>
      <c r="K690" s="11">
        <v>512.04999999999995</v>
      </c>
      <c r="L690" s="8">
        <v>2026</v>
      </c>
      <c r="M690" s="8" t="s">
        <v>77</v>
      </c>
    </row>
    <row r="691" spans="1:13">
      <c r="A691" s="8" t="s">
        <v>755</v>
      </c>
      <c r="B691" s="9">
        <v>46205</v>
      </c>
      <c r="C691" s="8" t="s">
        <v>56</v>
      </c>
      <c r="D691" s="8" t="s">
        <v>43</v>
      </c>
      <c r="E691" s="8" t="s">
        <v>57</v>
      </c>
      <c r="F691" s="8" t="s">
        <v>74</v>
      </c>
      <c r="G691" s="10">
        <v>5</v>
      </c>
      <c r="H691" s="11">
        <v>448.33</v>
      </c>
      <c r="I691" s="11">
        <v>2241.65</v>
      </c>
      <c r="J691" s="11">
        <v>1463.64</v>
      </c>
      <c r="K691" s="11">
        <v>778.01</v>
      </c>
      <c r="L691" s="8">
        <v>2026</v>
      </c>
      <c r="M691" s="8" t="s">
        <v>69</v>
      </c>
    </row>
    <row r="692" spans="1:13">
      <c r="A692" s="8" t="s">
        <v>756</v>
      </c>
      <c r="B692" s="9">
        <v>45668</v>
      </c>
      <c r="C692" s="8" t="s">
        <v>56</v>
      </c>
      <c r="D692" s="8" t="s">
        <v>43</v>
      </c>
      <c r="E692" s="8" t="s">
        <v>65</v>
      </c>
      <c r="F692" s="8" t="s">
        <v>45</v>
      </c>
      <c r="G692" s="10">
        <v>4</v>
      </c>
      <c r="H692" s="11">
        <v>202.6</v>
      </c>
      <c r="I692" s="11">
        <v>810.4</v>
      </c>
      <c r="J692" s="11">
        <v>445.41</v>
      </c>
      <c r="K692" s="11">
        <v>364.99</v>
      </c>
      <c r="L692" s="8">
        <v>2025</v>
      </c>
      <c r="M692" s="8" t="s">
        <v>36</v>
      </c>
    </row>
    <row r="693" spans="1:13">
      <c r="A693" s="8" t="s">
        <v>757</v>
      </c>
      <c r="B693" s="9">
        <v>45980</v>
      </c>
      <c r="C693" s="8" t="s">
        <v>34</v>
      </c>
      <c r="D693" s="8" t="s">
        <v>29</v>
      </c>
      <c r="E693" s="8" t="s">
        <v>35</v>
      </c>
      <c r="F693" s="8" t="s">
        <v>53</v>
      </c>
      <c r="G693" s="10">
        <v>6</v>
      </c>
      <c r="H693" s="11">
        <v>46.45</v>
      </c>
      <c r="I693" s="11">
        <v>278.7</v>
      </c>
      <c r="J693" s="11">
        <v>128.54</v>
      </c>
      <c r="K693" s="11">
        <v>150.16</v>
      </c>
      <c r="L693" s="8">
        <v>2025</v>
      </c>
      <c r="M693" s="8" t="s">
        <v>41</v>
      </c>
    </row>
    <row r="694" spans="1:13">
      <c r="A694" s="8" t="s">
        <v>758</v>
      </c>
      <c r="B694" s="9">
        <v>45926</v>
      </c>
      <c r="C694" s="8" t="s">
        <v>52</v>
      </c>
      <c r="D694" s="8" t="s">
        <v>43</v>
      </c>
      <c r="E694" s="8" t="s">
        <v>44</v>
      </c>
      <c r="F694" s="8" t="s">
        <v>31</v>
      </c>
      <c r="G694" s="10">
        <v>1</v>
      </c>
      <c r="H694" s="11">
        <v>452.31</v>
      </c>
      <c r="I694" s="11">
        <v>452.31</v>
      </c>
      <c r="J694" s="11">
        <v>290.45</v>
      </c>
      <c r="K694" s="11">
        <v>161.86000000000001</v>
      </c>
      <c r="L694" s="8">
        <v>2025</v>
      </c>
      <c r="M694" s="8" t="s">
        <v>98</v>
      </c>
    </row>
    <row r="695" spans="1:13">
      <c r="A695" s="8" t="s">
        <v>759</v>
      </c>
      <c r="B695" s="9">
        <v>46063</v>
      </c>
      <c r="C695" s="8" t="s">
        <v>28</v>
      </c>
      <c r="D695" s="8" t="s">
        <v>38</v>
      </c>
      <c r="E695" s="8" t="s">
        <v>61</v>
      </c>
      <c r="F695" s="8" t="s">
        <v>85</v>
      </c>
      <c r="G695" s="10">
        <v>1</v>
      </c>
      <c r="H695" s="11">
        <v>848.43</v>
      </c>
      <c r="I695" s="11">
        <v>848.43</v>
      </c>
      <c r="J695" s="11">
        <v>622.28</v>
      </c>
      <c r="K695" s="11">
        <v>226.15</v>
      </c>
      <c r="L695" s="8">
        <v>2026</v>
      </c>
      <c r="M695" s="8" t="s">
        <v>83</v>
      </c>
    </row>
    <row r="696" spans="1:13">
      <c r="A696" s="8" t="s">
        <v>760</v>
      </c>
      <c r="B696" s="9">
        <v>46095</v>
      </c>
      <c r="C696" s="8" t="s">
        <v>28</v>
      </c>
      <c r="D696" s="8" t="s">
        <v>38</v>
      </c>
      <c r="E696" s="8" t="s">
        <v>39</v>
      </c>
      <c r="F696" s="8" t="s">
        <v>49</v>
      </c>
      <c r="G696" s="10">
        <v>1</v>
      </c>
      <c r="H696" s="11">
        <v>61.78</v>
      </c>
      <c r="I696" s="11">
        <v>61.78</v>
      </c>
      <c r="J696" s="11">
        <v>25.7</v>
      </c>
      <c r="K696" s="11">
        <v>36.08</v>
      </c>
      <c r="L696" s="8">
        <v>2026</v>
      </c>
      <c r="M696" s="8" t="s">
        <v>77</v>
      </c>
    </row>
    <row r="697" spans="1:13">
      <c r="A697" s="8" t="s">
        <v>761</v>
      </c>
      <c r="B697" s="9">
        <v>46170</v>
      </c>
      <c r="C697" s="8" t="s">
        <v>56</v>
      </c>
      <c r="D697" s="8" t="s">
        <v>38</v>
      </c>
      <c r="E697" s="8" t="s">
        <v>61</v>
      </c>
      <c r="F697" s="8" t="s">
        <v>49</v>
      </c>
      <c r="G697" s="10">
        <v>5</v>
      </c>
      <c r="H697" s="11">
        <v>851.24</v>
      </c>
      <c r="I697" s="11">
        <v>4256.2</v>
      </c>
      <c r="J697" s="11">
        <v>3217.32</v>
      </c>
      <c r="K697" s="11">
        <v>1038.8800000000001</v>
      </c>
      <c r="L697" s="8">
        <v>2026</v>
      </c>
      <c r="M697" s="8" t="s">
        <v>50</v>
      </c>
    </row>
    <row r="698" spans="1:13">
      <c r="A698" s="8" t="s">
        <v>762</v>
      </c>
      <c r="B698" s="9">
        <v>46225</v>
      </c>
      <c r="C698" s="8" t="s">
        <v>56</v>
      </c>
      <c r="D698" s="8" t="s">
        <v>38</v>
      </c>
      <c r="E698" s="8" t="s">
        <v>61</v>
      </c>
      <c r="F698" s="8" t="s">
        <v>40</v>
      </c>
      <c r="G698" s="10">
        <v>3</v>
      </c>
      <c r="H698" s="11">
        <v>888.11</v>
      </c>
      <c r="I698" s="11">
        <v>2664.33</v>
      </c>
      <c r="J698" s="11">
        <v>1962.52</v>
      </c>
      <c r="K698" s="11">
        <v>701.81</v>
      </c>
      <c r="L698" s="8">
        <v>2026</v>
      </c>
      <c r="M698" s="8" t="s">
        <v>69</v>
      </c>
    </row>
    <row r="699" spans="1:13">
      <c r="A699" s="8" t="s">
        <v>763</v>
      </c>
      <c r="B699" s="9">
        <v>46140</v>
      </c>
      <c r="C699" s="8" t="s">
        <v>34</v>
      </c>
      <c r="D699" s="8" t="s">
        <v>38</v>
      </c>
      <c r="E699" s="8" t="s">
        <v>134</v>
      </c>
      <c r="F699" s="8" t="s">
        <v>66</v>
      </c>
      <c r="G699" s="10">
        <v>4</v>
      </c>
      <c r="H699" s="11">
        <v>301.64999999999998</v>
      </c>
      <c r="I699" s="11">
        <v>1206.5999999999999</v>
      </c>
      <c r="J699" s="11">
        <v>905.24</v>
      </c>
      <c r="K699" s="11">
        <v>301.36</v>
      </c>
      <c r="L699" s="8">
        <v>2026</v>
      </c>
      <c r="M699" s="8" t="s">
        <v>46</v>
      </c>
    </row>
    <row r="700" spans="1:13">
      <c r="A700" s="8" t="s">
        <v>764</v>
      </c>
      <c r="B700" s="9">
        <v>45710</v>
      </c>
      <c r="C700" s="8" t="s">
        <v>34</v>
      </c>
      <c r="D700" s="8" t="s">
        <v>43</v>
      </c>
      <c r="E700" s="8" t="s">
        <v>44</v>
      </c>
      <c r="F700" s="8" t="s">
        <v>45</v>
      </c>
      <c r="G700" s="10">
        <v>2</v>
      </c>
      <c r="H700" s="11">
        <v>376.36</v>
      </c>
      <c r="I700" s="11">
        <v>752.72</v>
      </c>
      <c r="J700" s="11">
        <v>493.72</v>
      </c>
      <c r="K700" s="11">
        <v>259</v>
      </c>
      <c r="L700" s="8">
        <v>2025</v>
      </c>
      <c r="M700" s="8" t="s">
        <v>83</v>
      </c>
    </row>
    <row r="701" spans="1:13">
      <c r="A701" s="8" t="s">
        <v>765</v>
      </c>
      <c r="B701" s="9">
        <v>45938</v>
      </c>
      <c r="C701" s="8" t="s">
        <v>34</v>
      </c>
      <c r="D701" s="8" t="s">
        <v>38</v>
      </c>
      <c r="E701" s="8" t="s">
        <v>61</v>
      </c>
      <c r="F701" s="8" t="s">
        <v>66</v>
      </c>
      <c r="G701" s="10">
        <v>2</v>
      </c>
      <c r="H701" s="11">
        <v>1028.28</v>
      </c>
      <c r="I701" s="11">
        <v>2056.56</v>
      </c>
      <c r="J701" s="11">
        <v>1580.81</v>
      </c>
      <c r="K701" s="11">
        <v>475.75</v>
      </c>
      <c r="L701" s="8">
        <v>2025</v>
      </c>
      <c r="M701" s="8" t="s">
        <v>58</v>
      </c>
    </row>
    <row r="702" spans="1:13">
      <c r="A702" s="8" t="s">
        <v>766</v>
      </c>
      <c r="B702" s="9">
        <v>45663</v>
      </c>
      <c r="C702" s="8" t="s">
        <v>28</v>
      </c>
      <c r="D702" s="8" t="s">
        <v>43</v>
      </c>
      <c r="E702" s="8" t="s">
        <v>44</v>
      </c>
      <c r="F702" s="8" t="s">
        <v>53</v>
      </c>
      <c r="G702" s="10">
        <v>2</v>
      </c>
      <c r="H702" s="11">
        <v>406.12</v>
      </c>
      <c r="I702" s="11">
        <v>812.24</v>
      </c>
      <c r="J702" s="11">
        <v>521.76</v>
      </c>
      <c r="K702" s="11">
        <v>290.48</v>
      </c>
      <c r="L702" s="8">
        <v>2025</v>
      </c>
      <c r="M702" s="8" t="s">
        <v>36</v>
      </c>
    </row>
    <row r="703" spans="1:13">
      <c r="A703" s="8" t="s">
        <v>767</v>
      </c>
      <c r="B703" s="9">
        <v>46116</v>
      </c>
      <c r="C703" s="8" t="s">
        <v>28</v>
      </c>
      <c r="D703" s="8" t="s">
        <v>29</v>
      </c>
      <c r="E703" s="8" t="s">
        <v>30</v>
      </c>
      <c r="F703" s="8" t="s">
        <v>74</v>
      </c>
      <c r="G703" s="10">
        <v>2</v>
      </c>
      <c r="H703" s="11">
        <v>24.36</v>
      </c>
      <c r="I703" s="11">
        <v>48.72</v>
      </c>
      <c r="J703" s="11">
        <v>18.86</v>
      </c>
      <c r="K703" s="11">
        <v>29.86</v>
      </c>
      <c r="L703" s="8">
        <v>2026</v>
      </c>
      <c r="M703" s="8" t="s">
        <v>46</v>
      </c>
    </row>
    <row r="704" spans="1:13">
      <c r="A704" s="8" t="s">
        <v>768</v>
      </c>
      <c r="B704" s="9">
        <v>45716</v>
      </c>
      <c r="C704" s="8" t="s">
        <v>52</v>
      </c>
      <c r="D704" s="8" t="s">
        <v>29</v>
      </c>
      <c r="E704" s="8" t="s">
        <v>76</v>
      </c>
      <c r="F704" s="8" t="s">
        <v>53</v>
      </c>
      <c r="G704" s="10">
        <v>9</v>
      </c>
      <c r="H704" s="11">
        <v>12.2</v>
      </c>
      <c r="I704" s="11">
        <v>109.8</v>
      </c>
      <c r="J704" s="11">
        <v>36.590000000000003</v>
      </c>
      <c r="K704" s="11">
        <v>73.209999999999994</v>
      </c>
      <c r="L704" s="8">
        <v>2025</v>
      </c>
      <c r="M704" s="8" t="s">
        <v>83</v>
      </c>
    </row>
    <row r="705" spans="1:13">
      <c r="A705" s="8" t="s">
        <v>769</v>
      </c>
      <c r="B705" s="9">
        <v>46195</v>
      </c>
      <c r="C705" s="8" t="s">
        <v>56</v>
      </c>
      <c r="D705" s="8" t="s">
        <v>29</v>
      </c>
      <c r="E705" s="8" t="s">
        <v>35</v>
      </c>
      <c r="F705" s="8" t="s">
        <v>85</v>
      </c>
      <c r="G705" s="10">
        <v>9</v>
      </c>
      <c r="H705" s="11">
        <v>45.9</v>
      </c>
      <c r="I705" s="11">
        <v>413.1</v>
      </c>
      <c r="J705" s="11">
        <v>181.91</v>
      </c>
      <c r="K705" s="11">
        <v>231.19</v>
      </c>
      <c r="L705" s="8">
        <v>2026</v>
      </c>
      <c r="M705" s="8" t="s">
        <v>54</v>
      </c>
    </row>
    <row r="706" spans="1:13">
      <c r="A706" s="8" t="s">
        <v>770</v>
      </c>
      <c r="B706" s="9">
        <v>46006</v>
      </c>
      <c r="C706" s="8" t="s">
        <v>34</v>
      </c>
      <c r="D706" s="8" t="s">
        <v>38</v>
      </c>
      <c r="E706" s="8" t="s">
        <v>61</v>
      </c>
      <c r="F706" s="8" t="s">
        <v>66</v>
      </c>
      <c r="G706" s="10">
        <v>1</v>
      </c>
      <c r="H706" s="11">
        <v>920.96</v>
      </c>
      <c r="I706" s="11">
        <v>920.96</v>
      </c>
      <c r="J706" s="11">
        <v>711.4</v>
      </c>
      <c r="K706" s="11">
        <v>209.56</v>
      </c>
      <c r="L706" s="8">
        <v>2025</v>
      </c>
      <c r="M706" s="8" t="s">
        <v>32</v>
      </c>
    </row>
    <row r="707" spans="1:13">
      <c r="A707" s="8" t="s">
        <v>771</v>
      </c>
      <c r="B707" s="9">
        <v>46192</v>
      </c>
      <c r="C707" s="8" t="s">
        <v>52</v>
      </c>
      <c r="D707" s="8" t="s">
        <v>29</v>
      </c>
      <c r="E707" s="8" t="s">
        <v>35</v>
      </c>
      <c r="F707" s="8" t="s">
        <v>85</v>
      </c>
      <c r="G707" s="10">
        <v>9</v>
      </c>
      <c r="H707" s="11">
        <v>43.08</v>
      </c>
      <c r="I707" s="11">
        <v>387.72</v>
      </c>
      <c r="J707" s="11">
        <v>184.59</v>
      </c>
      <c r="K707" s="11">
        <v>203.13</v>
      </c>
      <c r="L707" s="8">
        <v>2026</v>
      </c>
      <c r="M707" s="8" t="s">
        <v>54</v>
      </c>
    </row>
    <row r="708" spans="1:13">
      <c r="A708" s="8" t="s">
        <v>772</v>
      </c>
      <c r="B708" s="9">
        <v>46232</v>
      </c>
      <c r="C708" s="8" t="s">
        <v>52</v>
      </c>
      <c r="D708" s="8" t="s">
        <v>43</v>
      </c>
      <c r="E708" s="8" t="s">
        <v>57</v>
      </c>
      <c r="F708" s="8" t="s">
        <v>45</v>
      </c>
      <c r="G708" s="10">
        <v>4</v>
      </c>
      <c r="H708" s="11">
        <v>469.1</v>
      </c>
      <c r="I708" s="11">
        <v>1876.4</v>
      </c>
      <c r="J708" s="11">
        <v>1179.82</v>
      </c>
      <c r="K708" s="11">
        <v>696.58</v>
      </c>
      <c r="L708" s="8">
        <v>2026</v>
      </c>
      <c r="M708" s="8" t="s">
        <v>69</v>
      </c>
    </row>
    <row r="709" spans="1:13">
      <c r="A709" s="8" t="s">
        <v>773</v>
      </c>
      <c r="B709" s="9">
        <v>46003</v>
      </c>
      <c r="C709" s="8" t="s">
        <v>52</v>
      </c>
      <c r="D709" s="8" t="s">
        <v>29</v>
      </c>
      <c r="E709" s="8" t="s">
        <v>35</v>
      </c>
      <c r="F709" s="8" t="s">
        <v>45</v>
      </c>
      <c r="G709" s="10">
        <v>10</v>
      </c>
      <c r="H709" s="11">
        <v>43.23</v>
      </c>
      <c r="I709" s="11">
        <v>432.3</v>
      </c>
      <c r="J709" s="11">
        <v>212.7</v>
      </c>
      <c r="K709" s="11">
        <v>219.6</v>
      </c>
      <c r="L709" s="8">
        <v>2025</v>
      </c>
      <c r="M709" s="8" t="s">
        <v>32</v>
      </c>
    </row>
    <row r="710" spans="1:13">
      <c r="A710" s="8" t="s">
        <v>774</v>
      </c>
      <c r="B710" s="9">
        <v>45730</v>
      </c>
      <c r="C710" s="8" t="s">
        <v>52</v>
      </c>
      <c r="D710" s="8" t="s">
        <v>43</v>
      </c>
      <c r="E710" s="8" t="s">
        <v>44</v>
      </c>
      <c r="F710" s="8" t="s">
        <v>45</v>
      </c>
      <c r="G710" s="10">
        <v>2</v>
      </c>
      <c r="H710" s="11">
        <v>458.44</v>
      </c>
      <c r="I710" s="11">
        <v>916.88</v>
      </c>
      <c r="J710" s="11">
        <v>547.63</v>
      </c>
      <c r="K710" s="11">
        <v>369.25</v>
      </c>
      <c r="L710" s="8">
        <v>2025</v>
      </c>
      <c r="M710" s="8" t="s">
        <v>77</v>
      </c>
    </row>
    <row r="711" spans="1:13">
      <c r="A711" s="8" t="s">
        <v>775</v>
      </c>
      <c r="B711" s="9">
        <v>46242</v>
      </c>
      <c r="C711" s="8" t="s">
        <v>34</v>
      </c>
      <c r="D711" s="8" t="s">
        <v>29</v>
      </c>
      <c r="E711" s="8" t="s">
        <v>30</v>
      </c>
      <c r="F711" s="8" t="s">
        <v>45</v>
      </c>
      <c r="G711" s="10">
        <v>9</v>
      </c>
      <c r="H711" s="11">
        <v>27.41</v>
      </c>
      <c r="I711" s="11">
        <v>246.69</v>
      </c>
      <c r="J711" s="11">
        <v>103.24</v>
      </c>
      <c r="K711" s="11">
        <v>143.44999999999999</v>
      </c>
      <c r="L711" s="8">
        <v>2026</v>
      </c>
      <c r="M711" s="8" t="s">
        <v>62</v>
      </c>
    </row>
    <row r="712" spans="1:13">
      <c r="A712" s="8" t="s">
        <v>776</v>
      </c>
      <c r="B712" s="9">
        <v>45981</v>
      </c>
      <c r="C712" s="8" t="s">
        <v>56</v>
      </c>
      <c r="D712" s="8" t="s">
        <v>38</v>
      </c>
      <c r="E712" s="8" t="s">
        <v>39</v>
      </c>
      <c r="F712" s="8" t="s">
        <v>53</v>
      </c>
      <c r="G712" s="10">
        <v>2</v>
      </c>
      <c r="H712" s="11">
        <v>59.37</v>
      </c>
      <c r="I712" s="11">
        <v>118.74</v>
      </c>
      <c r="J712" s="11">
        <v>47.59</v>
      </c>
      <c r="K712" s="11">
        <v>71.150000000000006</v>
      </c>
      <c r="L712" s="8">
        <v>2025</v>
      </c>
      <c r="M712" s="8" t="s">
        <v>41</v>
      </c>
    </row>
    <row r="713" spans="1:13">
      <c r="A713" s="8" t="s">
        <v>777</v>
      </c>
      <c r="B713" s="9">
        <v>45743</v>
      </c>
      <c r="C713" s="8" t="s">
        <v>56</v>
      </c>
      <c r="D713" s="8" t="s">
        <v>38</v>
      </c>
      <c r="E713" s="8" t="s">
        <v>48</v>
      </c>
      <c r="F713" s="8" t="s">
        <v>74</v>
      </c>
      <c r="G713" s="10">
        <v>3</v>
      </c>
      <c r="H713" s="11">
        <v>190.06</v>
      </c>
      <c r="I713" s="11">
        <v>570.17999999999995</v>
      </c>
      <c r="J713" s="11">
        <v>376.64</v>
      </c>
      <c r="K713" s="11">
        <v>193.54</v>
      </c>
      <c r="L713" s="8">
        <v>2025</v>
      </c>
      <c r="M713" s="8" t="s">
        <v>77</v>
      </c>
    </row>
    <row r="714" spans="1:13">
      <c r="A714" s="8" t="s">
        <v>778</v>
      </c>
      <c r="B714" s="9">
        <v>45829</v>
      </c>
      <c r="C714" s="8" t="s">
        <v>28</v>
      </c>
      <c r="D714" s="8" t="s">
        <v>43</v>
      </c>
      <c r="E714" s="8" t="s">
        <v>65</v>
      </c>
      <c r="F714" s="8" t="s">
        <v>31</v>
      </c>
      <c r="G714" s="10">
        <v>1</v>
      </c>
      <c r="H714" s="11">
        <v>162.58000000000001</v>
      </c>
      <c r="I714" s="11">
        <v>162.58000000000001</v>
      </c>
      <c r="J714" s="11">
        <v>91.73</v>
      </c>
      <c r="K714" s="11">
        <v>70.849999999999994</v>
      </c>
      <c r="L714" s="8">
        <v>2025</v>
      </c>
      <c r="M714" s="8" t="s">
        <v>54</v>
      </c>
    </row>
    <row r="715" spans="1:13">
      <c r="A715" s="8" t="s">
        <v>779</v>
      </c>
      <c r="B715" s="9">
        <v>45982</v>
      </c>
      <c r="C715" s="8" t="s">
        <v>56</v>
      </c>
      <c r="D715" s="8" t="s">
        <v>38</v>
      </c>
      <c r="E715" s="8" t="s">
        <v>48</v>
      </c>
      <c r="F715" s="8" t="s">
        <v>66</v>
      </c>
      <c r="G715" s="10">
        <v>5</v>
      </c>
      <c r="H715" s="11">
        <v>236.32</v>
      </c>
      <c r="I715" s="11">
        <v>1181.5999999999999</v>
      </c>
      <c r="J715" s="11">
        <v>736.68</v>
      </c>
      <c r="K715" s="11">
        <v>444.92</v>
      </c>
      <c r="L715" s="8">
        <v>2025</v>
      </c>
      <c r="M715" s="8" t="s">
        <v>41</v>
      </c>
    </row>
    <row r="716" spans="1:13">
      <c r="A716" s="8" t="s">
        <v>780</v>
      </c>
      <c r="B716" s="9">
        <v>45781</v>
      </c>
      <c r="C716" s="8" t="s">
        <v>28</v>
      </c>
      <c r="D716" s="8" t="s">
        <v>29</v>
      </c>
      <c r="E716" s="8" t="s">
        <v>76</v>
      </c>
      <c r="F716" s="8" t="s">
        <v>66</v>
      </c>
      <c r="G716" s="10">
        <v>1</v>
      </c>
      <c r="H716" s="11">
        <v>11.59</v>
      </c>
      <c r="I716" s="11">
        <v>11.59</v>
      </c>
      <c r="J716" s="11">
        <v>4</v>
      </c>
      <c r="K716" s="11">
        <v>7.59</v>
      </c>
      <c r="L716" s="8">
        <v>2025</v>
      </c>
      <c r="M716" s="8" t="s">
        <v>50</v>
      </c>
    </row>
    <row r="717" spans="1:13">
      <c r="A717" s="8" t="s">
        <v>781</v>
      </c>
      <c r="B717" s="9">
        <v>45873</v>
      </c>
      <c r="C717" s="8" t="s">
        <v>56</v>
      </c>
      <c r="D717" s="8" t="s">
        <v>43</v>
      </c>
      <c r="E717" s="8" t="s">
        <v>57</v>
      </c>
      <c r="F717" s="8" t="s">
        <v>49</v>
      </c>
      <c r="G717" s="10">
        <v>4</v>
      </c>
      <c r="H717" s="11">
        <v>535.86</v>
      </c>
      <c r="I717" s="11">
        <v>2143.44</v>
      </c>
      <c r="J717" s="11">
        <v>1376.5</v>
      </c>
      <c r="K717" s="11">
        <v>766.94</v>
      </c>
      <c r="L717" s="8">
        <v>2025</v>
      </c>
      <c r="M717" s="8" t="s">
        <v>62</v>
      </c>
    </row>
    <row r="718" spans="1:13">
      <c r="A718" s="8" t="s">
        <v>782</v>
      </c>
      <c r="B718" s="9">
        <v>46059</v>
      </c>
      <c r="C718" s="8" t="s">
        <v>52</v>
      </c>
      <c r="D718" s="8" t="s">
        <v>29</v>
      </c>
      <c r="E718" s="8" t="s">
        <v>76</v>
      </c>
      <c r="F718" s="8" t="s">
        <v>31</v>
      </c>
      <c r="G718" s="10">
        <v>9</v>
      </c>
      <c r="H718" s="11">
        <v>10.94</v>
      </c>
      <c r="I718" s="11">
        <v>98.46</v>
      </c>
      <c r="J718" s="11">
        <v>32.880000000000003</v>
      </c>
      <c r="K718" s="11">
        <v>65.58</v>
      </c>
      <c r="L718" s="8">
        <v>2026</v>
      </c>
      <c r="M718" s="8" t="s">
        <v>83</v>
      </c>
    </row>
    <row r="719" spans="1:13">
      <c r="A719" s="8" t="s">
        <v>783</v>
      </c>
      <c r="B719" s="9">
        <v>45715</v>
      </c>
      <c r="C719" s="8" t="s">
        <v>56</v>
      </c>
      <c r="D719" s="8" t="s">
        <v>38</v>
      </c>
      <c r="E719" s="8" t="s">
        <v>39</v>
      </c>
      <c r="F719" s="8" t="s">
        <v>40</v>
      </c>
      <c r="G719" s="10">
        <v>2</v>
      </c>
      <c r="H719" s="11">
        <v>50.44</v>
      </c>
      <c r="I719" s="11">
        <v>100.88</v>
      </c>
      <c r="J719" s="11">
        <v>42.33</v>
      </c>
      <c r="K719" s="11">
        <v>58.55</v>
      </c>
      <c r="L719" s="8">
        <v>2025</v>
      </c>
      <c r="M719" s="8" t="s">
        <v>83</v>
      </c>
    </row>
    <row r="720" spans="1:13">
      <c r="A720" s="8" t="s">
        <v>784</v>
      </c>
      <c r="B720" s="9">
        <v>45689</v>
      </c>
      <c r="C720" s="8" t="s">
        <v>28</v>
      </c>
      <c r="D720" s="8" t="s">
        <v>29</v>
      </c>
      <c r="E720" s="8" t="s">
        <v>35</v>
      </c>
      <c r="F720" s="8" t="s">
        <v>85</v>
      </c>
      <c r="G720" s="10">
        <v>1</v>
      </c>
      <c r="H720" s="11">
        <v>46.13</v>
      </c>
      <c r="I720" s="11">
        <v>46.13</v>
      </c>
      <c r="J720" s="11">
        <v>20.12</v>
      </c>
      <c r="K720" s="11">
        <v>26.01</v>
      </c>
      <c r="L720" s="8">
        <v>2025</v>
      </c>
      <c r="M720" s="8" t="s">
        <v>83</v>
      </c>
    </row>
    <row r="721" spans="1:13">
      <c r="A721" s="8" t="s">
        <v>785</v>
      </c>
      <c r="B721" s="9">
        <v>46171</v>
      </c>
      <c r="C721" s="8" t="s">
        <v>34</v>
      </c>
      <c r="D721" s="8" t="s">
        <v>29</v>
      </c>
      <c r="E721" s="8" t="s">
        <v>30</v>
      </c>
      <c r="F721" s="8" t="s">
        <v>49</v>
      </c>
      <c r="G721" s="10">
        <v>9</v>
      </c>
      <c r="H721" s="11">
        <v>28.25</v>
      </c>
      <c r="I721" s="11">
        <v>254.25</v>
      </c>
      <c r="J721" s="11">
        <v>98.52</v>
      </c>
      <c r="K721" s="11">
        <v>155.72999999999999</v>
      </c>
      <c r="L721" s="8">
        <v>2026</v>
      </c>
      <c r="M721" s="8" t="s">
        <v>50</v>
      </c>
    </row>
    <row r="722" spans="1:13">
      <c r="A722" s="8" t="s">
        <v>786</v>
      </c>
      <c r="B722" s="9">
        <v>45841</v>
      </c>
      <c r="C722" s="8" t="s">
        <v>52</v>
      </c>
      <c r="D722" s="8" t="s">
        <v>38</v>
      </c>
      <c r="E722" s="8" t="s">
        <v>48</v>
      </c>
      <c r="F722" s="8" t="s">
        <v>49</v>
      </c>
      <c r="G722" s="10">
        <v>5</v>
      </c>
      <c r="H722" s="11">
        <v>227.23</v>
      </c>
      <c r="I722" s="11">
        <v>1136.1500000000001</v>
      </c>
      <c r="J722" s="11">
        <v>695.86</v>
      </c>
      <c r="K722" s="11">
        <v>440.29</v>
      </c>
      <c r="L722" s="8">
        <v>2025</v>
      </c>
      <c r="M722" s="8" t="s">
        <v>69</v>
      </c>
    </row>
    <row r="723" spans="1:13">
      <c r="A723" s="8" t="s">
        <v>787</v>
      </c>
      <c r="B723" s="9">
        <v>46254</v>
      </c>
      <c r="C723" s="8" t="s">
        <v>52</v>
      </c>
      <c r="D723" s="8" t="s">
        <v>38</v>
      </c>
      <c r="E723" s="8" t="s">
        <v>134</v>
      </c>
      <c r="F723" s="8" t="s">
        <v>53</v>
      </c>
      <c r="G723" s="10">
        <v>5</v>
      </c>
      <c r="H723" s="11">
        <v>344.99</v>
      </c>
      <c r="I723" s="11">
        <v>1724.95</v>
      </c>
      <c r="J723" s="11">
        <v>1228.6600000000001</v>
      </c>
      <c r="K723" s="11">
        <v>496.29</v>
      </c>
      <c r="L723" s="8">
        <v>2026</v>
      </c>
      <c r="M723" s="8" t="s">
        <v>62</v>
      </c>
    </row>
    <row r="724" spans="1:13">
      <c r="A724" s="8" t="s">
        <v>788</v>
      </c>
      <c r="B724" s="9">
        <v>45861</v>
      </c>
      <c r="C724" s="8" t="s">
        <v>28</v>
      </c>
      <c r="D724" s="8" t="s">
        <v>43</v>
      </c>
      <c r="E724" s="8" t="s">
        <v>94</v>
      </c>
      <c r="F724" s="8" t="s">
        <v>85</v>
      </c>
      <c r="G724" s="10">
        <v>3</v>
      </c>
      <c r="H724" s="11">
        <v>289.41000000000003</v>
      </c>
      <c r="I724" s="11">
        <v>868.23</v>
      </c>
      <c r="J724" s="11">
        <v>495.15</v>
      </c>
      <c r="K724" s="11">
        <v>373.08</v>
      </c>
      <c r="L724" s="8">
        <v>2025</v>
      </c>
      <c r="M724" s="8" t="s">
        <v>69</v>
      </c>
    </row>
    <row r="725" spans="1:13">
      <c r="A725" s="8" t="s">
        <v>789</v>
      </c>
      <c r="B725" s="9">
        <v>46177</v>
      </c>
      <c r="C725" s="8" t="s">
        <v>34</v>
      </c>
      <c r="D725" s="8" t="s">
        <v>38</v>
      </c>
      <c r="E725" s="8" t="s">
        <v>61</v>
      </c>
      <c r="F725" s="8" t="s">
        <v>66</v>
      </c>
      <c r="G725" s="10">
        <v>1</v>
      </c>
      <c r="H725" s="11">
        <v>1064.71</v>
      </c>
      <c r="I725" s="11">
        <v>1064.71</v>
      </c>
      <c r="J725" s="11">
        <v>843.28</v>
      </c>
      <c r="K725" s="11">
        <v>221.43</v>
      </c>
      <c r="L725" s="8">
        <v>2026</v>
      </c>
      <c r="M725" s="8" t="s">
        <v>54</v>
      </c>
    </row>
    <row r="726" spans="1:13">
      <c r="A726" s="8" t="s">
        <v>790</v>
      </c>
      <c r="B726" s="9">
        <v>45991</v>
      </c>
      <c r="C726" s="8" t="s">
        <v>52</v>
      </c>
      <c r="D726" s="8" t="s">
        <v>29</v>
      </c>
      <c r="E726" s="8" t="s">
        <v>76</v>
      </c>
      <c r="F726" s="8" t="s">
        <v>31</v>
      </c>
      <c r="G726" s="10">
        <v>8</v>
      </c>
      <c r="H726" s="11">
        <v>12.7</v>
      </c>
      <c r="I726" s="11">
        <v>101.6</v>
      </c>
      <c r="J726" s="11">
        <v>34.299999999999997</v>
      </c>
      <c r="K726" s="11">
        <v>67.3</v>
      </c>
      <c r="L726" s="8">
        <v>2025</v>
      </c>
      <c r="M726" s="8" t="s">
        <v>41</v>
      </c>
    </row>
    <row r="727" spans="1:13">
      <c r="A727" s="8" t="s">
        <v>791</v>
      </c>
      <c r="B727" s="9">
        <v>46066</v>
      </c>
      <c r="C727" s="8" t="s">
        <v>52</v>
      </c>
      <c r="D727" s="8" t="s">
        <v>38</v>
      </c>
      <c r="E727" s="8" t="s">
        <v>61</v>
      </c>
      <c r="F727" s="8" t="s">
        <v>45</v>
      </c>
      <c r="G727" s="10">
        <v>4</v>
      </c>
      <c r="H727" s="11">
        <v>817.41</v>
      </c>
      <c r="I727" s="11">
        <v>3269.64</v>
      </c>
      <c r="J727" s="11">
        <v>2356.5300000000002</v>
      </c>
      <c r="K727" s="11">
        <v>913.11</v>
      </c>
      <c r="L727" s="8">
        <v>2026</v>
      </c>
      <c r="M727" s="8" t="s">
        <v>83</v>
      </c>
    </row>
    <row r="728" spans="1:13">
      <c r="A728" s="8" t="s">
        <v>792</v>
      </c>
      <c r="B728" s="9">
        <v>46130</v>
      </c>
      <c r="C728" s="8" t="s">
        <v>56</v>
      </c>
      <c r="D728" s="8" t="s">
        <v>43</v>
      </c>
      <c r="E728" s="8" t="s">
        <v>65</v>
      </c>
      <c r="F728" s="8" t="s">
        <v>66</v>
      </c>
      <c r="G728" s="10">
        <v>3</v>
      </c>
      <c r="H728" s="11">
        <v>171.63</v>
      </c>
      <c r="I728" s="11">
        <v>514.89</v>
      </c>
      <c r="J728" s="11">
        <v>295.14</v>
      </c>
      <c r="K728" s="11">
        <v>219.75</v>
      </c>
      <c r="L728" s="8">
        <v>2026</v>
      </c>
      <c r="M728" s="8" t="s">
        <v>46</v>
      </c>
    </row>
    <row r="729" spans="1:13">
      <c r="A729" s="8" t="s">
        <v>793</v>
      </c>
      <c r="B729" s="9">
        <v>45944</v>
      </c>
      <c r="C729" s="8" t="s">
        <v>56</v>
      </c>
      <c r="D729" s="8" t="s">
        <v>38</v>
      </c>
      <c r="E729" s="8" t="s">
        <v>39</v>
      </c>
      <c r="F729" s="8" t="s">
        <v>53</v>
      </c>
      <c r="G729" s="10">
        <v>2</v>
      </c>
      <c r="H729" s="11">
        <v>61.51</v>
      </c>
      <c r="I729" s="11">
        <v>123.02</v>
      </c>
      <c r="J729" s="11">
        <v>57.33</v>
      </c>
      <c r="K729" s="11">
        <v>65.69</v>
      </c>
      <c r="L729" s="8">
        <v>2025</v>
      </c>
      <c r="M729" s="8" t="s">
        <v>58</v>
      </c>
    </row>
    <row r="730" spans="1:13">
      <c r="A730" s="8" t="s">
        <v>794</v>
      </c>
      <c r="B730" s="9">
        <v>45749</v>
      </c>
      <c r="C730" s="8" t="s">
        <v>52</v>
      </c>
      <c r="D730" s="8" t="s">
        <v>38</v>
      </c>
      <c r="E730" s="8" t="s">
        <v>61</v>
      </c>
      <c r="F730" s="8" t="s">
        <v>49</v>
      </c>
      <c r="G730" s="10">
        <v>3</v>
      </c>
      <c r="H730" s="11">
        <v>941.47</v>
      </c>
      <c r="I730" s="11">
        <v>2824.41</v>
      </c>
      <c r="J730" s="11">
        <v>2256.29</v>
      </c>
      <c r="K730" s="11">
        <v>568.12</v>
      </c>
      <c r="L730" s="8">
        <v>2025</v>
      </c>
      <c r="M730" s="8" t="s">
        <v>46</v>
      </c>
    </row>
    <row r="731" spans="1:13">
      <c r="A731" s="8" t="s">
        <v>795</v>
      </c>
      <c r="B731" s="9">
        <v>46064</v>
      </c>
      <c r="C731" s="8" t="s">
        <v>34</v>
      </c>
      <c r="D731" s="8" t="s">
        <v>29</v>
      </c>
      <c r="E731" s="8" t="s">
        <v>30</v>
      </c>
      <c r="F731" s="8" t="s">
        <v>66</v>
      </c>
      <c r="G731" s="10">
        <v>2</v>
      </c>
      <c r="H731" s="11">
        <v>21.93</v>
      </c>
      <c r="I731" s="11">
        <v>43.86</v>
      </c>
      <c r="J731" s="11">
        <v>17.05</v>
      </c>
      <c r="K731" s="11">
        <v>26.81</v>
      </c>
      <c r="L731" s="8">
        <v>2026</v>
      </c>
      <c r="M731" s="8" t="s">
        <v>83</v>
      </c>
    </row>
    <row r="732" spans="1:13">
      <c r="A732" s="8" t="s">
        <v>796</v>
      </c>
      <c r="B732" s="9">
        <v>46174</v>
      </c>
      <c r="C732" s="8" t="s">
        <v>52</v>
      </c>
      <c r="D732" s="8" t="s">
        <v>43</v>
      </c>
      <c r="E732" s="8" t="s">
        <v>57</v>
      </c>
      <c r="F732" s="8" t="s">
        <v>31</v>
      </c>
      <c r="G732" s="10">
        <v>5</v>
      </c>
      <c r="H732" s="11">
        <v>504.82</v>
      </c>
      <c r="I732" s="11">
        <v>2524.1</v>
      </c>
      <c r="J732" s="11">
        <v>1579.47</v>
      </c>
      <c r="K732" s="11">
        <v>944.63</v>
      </c>
      <c r="L732" s="8">
        <v>2026</v>
      </c>
      <c r="M732" s="8" t="s">
        <v>54</v>
      </c>
    </row>
    <row r="733" spans="1:13">
      <c r="A733" s="8" t="s">
        <v>797</v>
      </c>
      <c r="B733" s="9">
        <v>45703</v>
      </c>
      <c r="C733" s="8" t="s">
        <v>52</v>
      </c>
      <c r="D733" s="8" t="s">
        <v>29</v>
      </c>
      <c r="E733" s="8" t="s">
        <v>35</v>
      </c>
      <c r="F733" s="8" t="s">
        <v>40</v>
      </c>
      <c r="G733" s="10">
        <v>3</v>
      </c>
      <c r="H733" s="11">
        <v>46.44</v>
      </c>
      <c r="I733" s="11">
        <v>139.32</v>
      </c>
      <c r="J733" s="11">
        <v>65.02</v>
      </c>
      <c r="K733" s="11">
        <v>74.3</v>
      </c>
      <c r="L733" s="8">
        <v>2025</v>
      </c>
      <c r="M733" s="8" t="s">
        <v>83</v>
      </c>
    </row>
    <row r="734" spans="1:13">
      <c r="A734" s="8" t="s">
        <v>798</v>
      </c>
      <c r="B734" s="9">
        <v>46149</v>
      </c>
      <c r="C734" s="8" t="s">
        <v>56</v>
      </c>
      <c r="D734" s="8" t="s">
        <v>38</v>
      </c>
      <c r="E734" s="8" t="s">
        <v>61</v>
      </c>
      <c r="F734" s="8" t="s">
        <v>85</v>
      </c>
      <c r="G734" s="10">
        <v>4</v>
      </c>
      <c r="H734" s="11">
        <v>1024.23</v>
      </c>
      <c r="I734" s="11">
        <v>4096.92</v>
      </c>
      <c r="J734" s="11">
        <v>3231.99</v>
      </c>
      <c r="K734" s="11">
        <v>864.93</v>
      </c>
      <c r="L734" s="8">
        <v>2026</v>
      </c>
      <c r="M734" s="8" t="s">
        <v>50</v>
      </c>
    </row>
    <row r="735" spans="1:13">
      <c r="A735" s="8" t="s">
        <v>799</v>
      </c>
      <c r="B735" s="9">
        <v>45856</v>
      </c>
      <c r="C735" s="8" t="s">
        <v>28</v>
      </c>
      <c r="D735" s="8" t="s">
        <v>29</v>
      </c>
      <c r="E735" s="8" t="s">
        <v>76</v>
      </c>
      <c r="F735" s="8" t="s">
        <v>45</v>
      </c>
      <c r="G735" s="10">
        <v>6</v>
      </c>
      <c r="H735" s="11">
        <v>13.19</v>
      </c>
      <c r="I735" s="11">
        <v>79.14</v>
      </c>
      <c r="J735" s="11">
        <v>30.25</v>
      </c>
      <c r="K735" s="11">
        <v>48.89</v>
      </c>
      <c r="L735" s="8">
        <v>2025</v>
      </c>
      <c r="M735" s="8" t="s">
        <v>69</v>
      </c>
    </row>
    <row r="736" spans="1:13">
      <c r="A736" s="8" t="s">
        <v>800</v>
      </c>
      <c r="B736" s="9">
        <v>45818</v>
      </c>
      <c r="C736" s="8" t="s">
        <v>52</v>
      </c>
      <c r="D736" s="8" t="s">
        <v>43</v>
      </c>
      <c r="E736" s="8" t="s">
        <v>44</v>
      </c>
      <c r="F736" s="8" t="s">
        <v>49</v>
      </c>
      <c r="G736" s="10">
        <v>1</v>
      </c>
      <c r="H736" s="11">
        <v>403.31</v>
      </c>
      <c r="I736" s="11">
        <v>403.31</v>
      </c>
      <c r="J736" s="11">
        <v>252.84</v>
      </c>
      <c r="K736" s="11">
        <v>150.47</v>
      </c>
      <c r="L736" s="8">
        <v>2025</v>
      </c>
      <c r="M736" s="8" t="s">
        <v>54</v>
      </c>
    </row>
    <row r="737" spans="1:13">
      <c r="A737" s="8" t="s">
        <v>801</v>
      </c>
      <c r="B737" s="9">
        <v>46252</v>
      </c>
      <c r="C737" s="8" t="s">
        <v>34</v>
      </c>
      <c r="D737" s="8" t="s">
        <v>29</v>
      </c>
      <c r="E737" s="8" t="s">
        <v>35</v>
      </c>
      <c r="F737" s="8" t="s">
        <v>85</v>
      </c>
      <c r="G737" s="10">
        <v>9</v>
      </c>
      <c r="H737" s="11">
        <v>50.13</v>
      </c>
      <c r="I737" s="11">
        <v>451.17</v>
      </c>
      <c r="J737" s="11">
        <v>206.62</v>
      </c>
      <c r="K737" s="11">
        <v>244.55</v>
      </c>
      <c r="L737" s="8">
        <v>2026</v>
      </c>
      <c r="M737" s="8" t="s">
        <v>62</v>
      </c>
    </row>
    <row r="738" spans="1:13">
      <c r="A738" s="8" t="s">
        <v>802</v>
      </c>
      <c r="B738" s="9">
        <v>46023</v>
      </c>
      <c r="C738" s="8" t="s">
        <v>52</v>
      </c>
      <c r="D738" s="8" t="s">
        <v>43</v>
      </c>
      <c r="E738" s="8" t="s">
        <v>94</v>
      </c>
      <c r="F738" s="8" t="s">
        <v>66</v>
      </c>
      <c r="G738" s="10">
        <v>1</v>
      </c>
      <c r="H738" s="11">
        <v>309.98</v>
      </c>
      <c r="I738" s="11">
        <v>309.98</v>
      </c>
      <c r="J738" s="11">
        <v>172.36</v>
      </c>
      <c r="K738" s="11">
        <v>137.62</v>
      </c>
      <c r="L738" s="8">
        <v>2026</v>
      </c>
      <c r="M738" s="8" t="s">
        <v>36</v>
      </c>
    </row>
    <row r="739" spans="1:13">
      <c r="A739" s="8" t="s">
        <v>803</v>
      </c>
      <c r="B739" s="9">
        <v>45775</v>
      </c>
      <c r="C739" s="8" t="s">
        <v>28</v>
      </c>
      <c r="D739" s="8" t="s">
        <v>43</v>
      </c>
      <c r="E739" s="8" t="s">
        <v>65</v>
      </c>
      <c r="F739" s="8" t="s">
        <v>45</v>
      </c>
      <c r="G739" s="10">
        <v>3</v>
      </c>
      <c r="H739" s="11">
        <v>164.54</v>
      </c>
      <c r="I739" s="11">
        <v>493.62</v>
      </c>
      <c r="J739" s="11">
        <v>290.77999999999997</v>
      </c>
      <c r="K739" s="11">
        <v>202.84</v>
      </c>
      <c r="L739" s="8">
        <v>2025</v>
      </c>
      <c r="M739" s="8" t="s">
        <v>46</v>
      </c>
    </row>
    <row r="740" spans="1:13">
      <c r="A740" s="8" t="s">
        <v>804</v>
      </c>
      <c r="B740" s="9">
        <v>45835</v>
      </c>
      <c r="C740" s="8" t="s">
        <v>56</v>
      </c>
      <c r="D740" s="8" t="s">
        <v>29</v>
      </c>
      <c r="E740" s="8" t="s">
        <v>76</v>
      </c>
      <c r="F740" s="8" t="s">
        <v>49</v>
      </c>
      <c r="G740" s="10">
        <v>5</v>
      </c>
      <c r="H740" s="11">
        <v>13.53</v>
      </c>
      <c r="I740" s="11">
        <v>67.650000000000006</v>
      </c>
      <c r="J740" s="11">
        <v>24.25</v>
      </c>
      <c r="K740" s="11">
        <v>43.4</v>
      </c>
      <c r="L740" s="8">
        <v>2025</v>
      </c>
      <c r="M740" s="8" t="s">
        <v>54</v>
      </c>
    </row>
    <row r="741" spans="1:13">
      <c r="A741" s="8" t="s">
        <v>805</v>
      </c>
      <c r="B741" s="9">
        <v>45974</v>
      </c>
      <c r="C741" s="8" t="s">
        <v>52</v>
      </c>
      <c r="D741" s="8" t="s">
        <v>38</v>
      </c>
      <c r="E741" s="8" t="s">
        <v>61</v>
      </c>
      <c r="F741" s="8" t="s">
        <v>66</v>
      </c>
      <c r="G741" s="10">
        <v>5</v>
      </c>
      <c r="H741" s="11">
        <v>991.79</v>
      </c>
      <c r="I741" s="11">
        <v>4958.95</v>
      </c>
      <c r="J741" s="11">
        <v>3765.5</v>
      </c>
      <c r="K741" s="11">
        <v>1193.45</v>
      </c>
      <c r="L741" s="8">
        <v>2025</v>
      </c>
      <c r="M741" s="8" t="s">
        <v>41</v>
      </c>
    </row>
    <row r="742" spans="1:13">
      <c r="A742" s="8" t="s">
        <v>806</v>
      </c>
      <c r="B742" s="9">
        <v>46229</v>
      </c>
      <c r="C742" s="8" t="s">
        <v>34</v>
      </c>
      <c r="D742" s="8" t="s">
        <v>38</v>
      </c>
      <c r="E742" s="8" t="s">
        <v>39</v>
      </c>
      <c r="F742" s="8" t="s">
        <v>74</v>
      </c>
      <c r="G742" s="10">
        <v>4</v>
      </c>
      <c r="H742" s="11">
        <v>57.82</v>
      </c>
      <c r="I742" s="11">
        <v>231.28</v>
      </c>
      <c r="J742" s="11">
        <v>103.19</v>
      </c>
      <c r="K742" s="11">
        <v>128.09</v>
      </c>
      <c r="L742" s="8">
        <v>2026</v>
      </c>
      <c r="M742" s="8" t="s">
        <v>69</v>
      </c>
    </row>
    <row r="743" spans="1:13">
      <c r="A743" s="8" t="s">
        <v>807</v>
      </c>
      <c r="B743" s="9">
        <v>46130</v>
      </c>
      <c r="C743" s="8" t="s">
        <v>34</v>
      </c>
      <c r="D743" s="8" t="s">
        <v>29</v>
      </c>
      <c r="E743" s="8" t="s">
        <v>116</v>
      </c>
      <c r="F743" s="8" t="s">
        <v>31</v>
      </c>
      <c r="G743" s="10">
        <v>1</v>
      </c>
      <c r="H743" s="11">
        <v>19.989999999999998</v>
      </c>
      <c r="I743" s="11">
        <v>19.989999999999998</v>
      </c>
      <c r="J743" s="11">
        <v>7.63</v>
      </c>
      <c r="K743" s="11">
        <v>12.36</v>
      </c>
      <c r="L743" s="8">
        <v>2026</v>
      </c>
      <c r="M743" s="8" t="s">
        <v>46</v>
      </c>
    </row>
    <row r="744" spans="1:13">
      <c r="A744" s="8" t="s">
        <v>808</v>
      </c>
      <c r="B744" s="9">
        <v>46052</v>
      </c>
      <c r="C744" s="8" t="s">
        <v>52</v>
      </c>
      <c r="D744" s="8" t="s">
        <v>29</v>
      </c>
      <c r="E744" s="8" t="s">
        <v>30</v>
      </c>
      <c r="F744" s="8" t="s">
        <v>49</v>
      </c>
      <c r="G744" s="10">
        <v>7</v>
      </c>
      <c r="H744" s="11">
        <v>27.8</v>
      </c>
      <c r="I744" s="11">
        <v>194.6</v>
      </c>
      <c r="J744" s="11">
        <v>78.05</v>
      </c>
      <c r="K744" s="11">
        <v>116.55</v>
      </c>
      <c r="L744" s="8">
        <v>2026</v>
      </c>
      <c r="M744" s="8" t="s">
        <v>36</v>
      </c>
    </row>
    <row r="745" spans="1:13">
      <c r="A745" s="8" t="s">
        <v>809</v>
      </c>
      <c r="B745" s="9">
        <v>45711</v>
      </c>
      <c r="C745" s="8" t="s">
        <v>52</v>
      </c>
      <c r="D745" s="8" t="s">
        <v>38</v>
      </c>
      <c r="E745" s="8" t="s">
        <v>48</v>
      </c>
      <c r="F745" s="8" t="s">
        <v>53</v>
      </c>
      <c r="G745" s="10">
        <v>4</v>
      </c>
      <c r="H745" s="11">
        <v>200.96</v>
      </c>
      <c r="I745" s="11">
        <v>803.84</v>
      </c>
      <c r="J745" s="11">
        <v>506.58</v>
      </c>
      <c r="K745" s="11">
        <v>297.26</v>
      </c>
      <c r="L745" s="8">
        <v>2025</v>
      </c>
      <c r="M745" s="8" t="s">
        <v>83</v>
      </c>
    </row>
    <row r="746" spans="1:13">
      <c r="A746" s="8" t="s">
        <v>810</v>
      </c>
      <c r="B746" s="9">
        <v>46248</v>
      </c>
      <c r="C746" s="8" t="s">
        <v>34</v>
      </c>
      <c r="D746" s="8" t="s">
        <v>29</v>
      </c>
      <c r="E746" s="8" t="s">
        <v>116</v>
      </c>
      <c r="F746" s="8" t="s">
        <v>53</v>
      </c>
      <c r="G746" s="10">
        <v>11</v>
      </c>
      <c r="H746" s="11">
        <v>19.05</v>
      </c>
      <c r="I746" s="11">
        <v>209.55</v>
      </c>
      <c r="J746" s="11">
        <v>78.06</v>
      </c>
      <c r="K746" s="11">
        <v>131.49</v>
      </c>
      <c r="L746" s="8">
        <v>2026</v>
      </c>
      <c r="M746" s="8" t="s">
        <v>62</v>
      </c>
    </row>
    <row r="747" spans="1:13">
      <c r="A747" s="8" t="s">
        <v>811</v>
      </c>
      <c r="B747" s="9">
        <v>46147</v>
      </c>
      <c r="C747" s="8" t="s">
        <v>28</v>
      </c>
      <c r="D747" s="8" t="s">
        <v>38</v>
      </c>
      <c r="E747" s="8" t="s">
        <v>134</v>
      </c>
      <c r="F747" s="8" t="s">
        <v>85</v>
      </c>
      <c r="G747" s="10">
        <v>5</v>
      </c>
      <c r="H747" s="11">
        <v>315.2</v>
      </c>
      <c r="I747" s="11">
        <v>1576</v>
      </c>
      <c r="J747" s="11">
        <v>1102.51</v>
      </c>
      <c r="K747" s="11">
        <v>473.49</v>
      </c>
      <c r="L747" s="8">
        <v>2026</v>
      </c>
      <c r="M747" s="8" t="s">
        <v>50</v>
      </c>
    </row>
    <row r="748" spans="1:13">
      <c r="A748" s="8" t="s">
        <v>812</v>
      </c>
      <c r="B748" s="9">
        <v>45679</v>
      </c>
      <c r="C748" s="8" t="s">
        <v>56</v>
      </c>
      <c r="D748" s="8" t="s">
        <v>29</v>
      </c>
      <c r="E748" s="8" t="s">
        <v>116</v>
      </c>
      <c r="F748" s="8" t="s">
        <v>40</v>
      </c>
      <c r="G748" s="10">
        <v>1</v>
      </c>
      <c r="H748" s="11">
        <v>20.440000000000001</v>
      </c>
      <c r="I748" s="11">
        <v>20.440000000000001</v>
      </c>
      <c r="J748" s="11">
        <v>8.19</v>
      </c>
      <c r="K748" s="11">
        <v>12.25</v>
      </c>
      <c r="L748" s="8">
        <v>2025</v>
      </c>
      <c r="M748" s="8" t="s">
        <v>36</v>
      </c>
    </row>
    <row r="749" spans="1:13">
      <c r="A749" s="8" t="s">
        <v>813</v>
      </c>
      <c r="B749" s="9">
        <v>46122</v>
      </c>
      <c r="C749" s="8" t="s">
        <v>28</v>
      </c>
      <c r="D749" s="8" t="s">
        <v>29</v>
      </c>
      <c r="E749" s="8" t="s">
        <v>76</v>
      </c>
      <c r="F749" s="8" t="s">
        <v>53</v>
      </c>
      <c r="G749" s="10">
        <v>5</v>
      </c>
      <c r="H749" s="11">
        <v>10.54</v>
      </c>
      <c r="I749" s="11">
        <v>52.7</v>
      </c>
      <c r="J749" s="11">
        <v>18.510000000000002</v>
      </c>
      <c r="K749" s="11">
        <v>34.19</v>
      </c>
      <c r="L749" s="8">
        <v>2026</v>
      </c>
      <c r="M749" s="8" t="s">
        <v>46</v>
      </c>
    </row>
    <row r="750" spans="1:13">
      <c r="A750" s="8" t="s">
        <v>814</v>
      </c>
      <c r="B750" s="9">
        <v>46039</v>
      </c>
      <c r="C750" s="8" t="s">
        <v>28</v>
      </c>
      <c r="D750" s="8" t="s">
        <v>43</v>
      </c>
      <c r="E750" s="8" t="s">
        <v>57</v>
      </c>
      <c r="F750" s="8" t="s">
        <v>40</v>
      </c>
      <c r="G750" s="10">
        <v>3</v>
      </c>
      <c r="H750" s="11">
        <v>466.51</v>
      </c>
      <c r="I750" s="11">
        <v>1399.53</v>
      </c>
      <c r="J750" s="11">
        <v>885.87</v>
      </c>
      <c r="K750" s="11">
        <v>513.66</v>
      </c>
      <c r="L750" s="8">
        <v>2026</v>
      </c>
      <c r="M750" s="8" t="s">
        <v>36</v>
      </c>
    </row>
    <row r="751" spans="1:13">
      <c r="A751" s="8" t="s">
        <v>815</v>
      </c>
      <c r="B751" s="9">
        <v>45874</v>
      </c>
      <c r="C751" s="8" t="s">
        <v>52</v>
      </c>
      <c r="D751" s="8" t="s">
        <v>38</v>
      </c>
      <c r="E751" s="8" t="s">
        <v>48</v>
      </c>
      <c r="F751" s="8" t="s">
        <v>66</v>
      </c>
      <c r="G751" s="10">
        <v>1</v>
      </c>
      <c r="H751" s="11">
        <v>195.86</v>
      </c>
      <c r="I751" s="11">
        <v>195.86</v>
      </c>
      <c r="J751" s="11">
        <v>132.1</v>
      </c>
      <c r="K751" s="11">
        <v>63.76</v>
      </c>
      <c r="L751" s="8">
        <v>2025</v>
      </c>
      <c r="M751" s="8" t="s">
        <v>62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3F34-2D28-4ED7-9DCA-18E798CB1105}">
  <dimension ref="A2:R5"/>
  <sheetViews>
    <sheetView showGridLines="0" workbookViewId="0">
      <selection activeCell="F47" sqref="F47"/>
    </sheetView>
  </sheetViews>
  <sheetFormatPr defaultRowHeight="13.8"/>
  <cols>
    <col min="1" max="1" width="13.296875" bestFit="1" customWidth="1"/>
    <col min="5" max="5" width="13" bestFit="1" customWidth="1"/>
    <col min="9" max="9" width="11" bestFit="1" customWidth="1"/>
  </cols>
  <sheetData>
    <row r="2" spans="1:18" ht="20.399999999999999">
      <c r="A2" s="23" t="s">
        <v>824</v>
      </c>
      <c r="B2" s="23"/>
      <c r="C2" s="23"/>
      <c r="D2" s="23"/>
      <c r="E2" s="23"/>
      <c r="F2" s="23"/>
      <c r="G2" s="23"/>
      <c r="H2" s="23"/>
      <c r="I2" s="23"/>
      <c r="J2" s="23"/>
      <c r="K2" s="23"/>
      <c r="L2" s="23"/>
      <c r="M2" s="23"/>
      <c r="N2" s="23"/>
      <c r="O2" s="23"/>
      <c r="P2" s="23"/>
      <c r="Q2" s="23"/>
      <c r="R2" s="23"/>
    </row>
    <row r="4" spans="1:18" ht="17.399999999999999">
      <c r="A4" s="24" t="s">
        <v>825</v>
      </c>
      <c r="E4" s="24" t="s">
        <v>826</v>
      </c>
      <c r="I4" s="24" t="s">
        <v>827</v>
      </c>
    </row>
    <row r="5" spans="1:18" ht="15.6">
      <c r="A5" s="26">
        <f>GETPIVOTDATA("Sum of Sales",PivotTables!$E$35)</f>
        <v>589545.69999999891</v>
      </c>
      <c r="E5" s="25">
        <f>GETPIVOTDATA("Sum of Profit",PivotTables!$E$35)</f>
        <v>204397.09000000008</v>
      </c>
      <c r="I5" s="27">
        <f>GETPIVOTDATA("Sum of Quantity",PivotTables!$E$35)</f>
        <v>3253</v>
      </c>
    </row>
  </sheetData>
  <mergeCells count="1">
    <mergeCell ref="A2:R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07B6B-870D-43F4-AE63-04BD2ABD9309}">
  <dimension ref="A1:G36"/>
  <sheetViews>
    <sheetView workbookViewId="0">
      <selection activeCell="F33" sqref="F33"/>
    </sheetView>
  </sheetViews>
  <sheetFormatPr defaultRowHeight="13.8"/>
  <cols>
    <col min="1" max="1" width="13.09765625" bestFit="1" customWidth="1"/>
    <col min="2" max="2" width="12.3984375" bestFit="1" customWidth="1"/>
    <col min="5" max="5" width="15.09765625" bestFit="1" customWidth="1"/>
    <col min="6" max="6" width="12.3984375" bestFit="1" customWidth="1"/>
    <col min="7" max="7" width="12.296875" bestFit="1" customWidth="1"/>
  </cols>
  <sheetData>
    <row r="1" spans="1:6" s="18" customFormat="1">
      <c r="A1" s="19" t="s">
        <v>819</v>
      </c>
      <c r="E1" s="19" t="s">
        <v>820</v>
      </c>
    </row>
    <row r="3" spans="1:6">
      <c r="A3" s="15" t="s">
        <v>816</v>
      </c>
      <c r="B3" t="s">
        <v>818</v>
      </c>
      <c r="E3" s="15" t="s">
        <v>816</v>
      </c>
      <c r="F3" t="s">
        <v>818</v>
      </c>
    </row>
    <row r="4" spans="1:6">
      <c r="A4" s="16" t="s">
        <v>43</v>
      </c>
      <c r="B4" s="17">
        <v>255951.66</v>
      </c>
      <c r="E4" s="16">
        <v>2025</v>
      </c>
      <c r="F4" s="18">
        <v>307305.01999999996</v>
      </c>
    </row>
    <row r="5" spans="1:6">
      <c r="A5" s="16" t="s">
        <v>29</v>
      </c>
      <c r="B5" s="17">
        <v>47195.02</v>
      </c>
      <c r="E5" s="20" t="s">
        <v>36</v>
      </c>
      <c r="F5" s="18">
        <v>29027.989999999994</v>
      </c>
    </row>
    <row r="6" spans="1:6">
      <c r="A6" s="16" t="s">
        <v>38</v>
      </c>
      <c r="B6" s="17">
        <v>286399.01999999996</v>
      </c>
      <c r="E6" s="20" t="s">
        <v>83</v>
      </c>
      <c r="F6" s="18">
        <v>13917.779999999999</v>
      </c>
    </row>
    <row r="7" spans="1:6">
      <c r="A7" s="16" t="s">
        <v>817</v>
      </c>
      <c r="B7" s="17">
        <v>589545.69999999995</v>
      </c>
      <c r="E7" s="20" t="s">
        <v>77</v>
      </c>
      <c r="F7" s="18">
        <v>17634.689999999999</v>
      </c>
    </row>
    <row r="8" spans="1:6">
      <c r="E8" s="20" t="s">
        <v>46</v>
      </c>
      <c r="F8" s="18">
        <v>22947.05</v>
      </c>
    </row>
    <row r="9" spans="1:6">
      <c r="E9" s="20" t="s">
        <v>50</v>
      </c>
      <c r="F9" s="18">
        <v>24420.600000000006</v>
      </c>
    </row>
    <row r="10" spans="1:6">
      <c r="E10" s="20" t="s">
        <v>54</v>
      </c>
      <c r="F10" s="18">
        <v>23095.760000000002</v>
      </c>
    </row>
    <row r="11" spans="1:6">
      <c r="E11" s="20" t="s">
        <v>69</v>
      </c>
      <c r="F11" s="18">
        <v>34236.769999999997</v>
      </c>
    </row>
    <row r="12" spans="1:6">
      <c r="E12" s="20" t="s">
        <v>62</v>
      </c>
      <c r="F12" s="18">
        <v>27576.5</v>
      </c>
    </row>
    <row r="13" spans="1:6">
      <c r="E13" s="20" t="s">
        <v>98</v>
      </c>
      <c r="F13" s="18">
        <v>25191.270000000008</v>
      </c>
    </row>
    <row r="14" spans="1:6">
      <c r="E14" s="20" t="s">
        <v>58</v>
      </c>
      <c r="F14" s="18">
        <v>24508.720000000001</v>
      </c>
    </row>
    <row r="15" spans="1:6">
      <c r="E15" s="20" t="s">
        <v>41</v>
      </c>
      <c r="F15" s="18">
        <v>48100.479999999989</v>
      </c>
    </row>
    <row r="16" spans="1:6">
      <c r="E16" s="20" t="s">
        <v>32</v>
      </c>
      <c r="F16" s="18">
        <v>16647.41</v>
      </c>
    </row>
    <row r="17" spans="1:6">
      <c r="E17" s="16">
        <v>2026</v>
      </c>
      <c r="F17" s="18">
        <v>282240.67999999993</v>
      </c>
    </row>
    <row r="18" spans="1:6">
      <c r="A18" s="21" t="s">
        <v>821</v>
      </c>
      <c r="E18" s="20" t="s">
        <v>36</v>
      </c>
      <c r="F18" s="18">
        <v>42729.009999999995</v>
      </c>
    </row>
    <row r="19" spans="1:6">
      <c r="E19" s="20" t="s">
        <v>83</v>
      </c>
      <c r="F19" s="18">
        <v>39048.390000000007</v>
      </c>
    </row>
    <row r="20" spans="1:6">
      <c r="A20" s="15" t="s">
        <v>816</v>
      </c>
      <c r="B20" t="s">
        <v>818</v>
      </c>
      <c r="E20" s="20" t="s">
        <v>77</v>
      </c>
      <c r="F20" s="18">
        <v>31262.76</v>
      </c>
    </row>
    <row r="21" spans="1:6">
      <c r="A21" s="16" t="s">
        <v>61</v>
      </c>
      <c r="B21" s="18">
        <v>179087.75000000003</v>
      </c>
      <c r="E21" s="20" t="s">
        <v>46</v>
      </c>
      <c r="F21" s="18">
        <v>23292.42</v>
      </c>
    </row>
    <row r="22" spans="1:6">
      <c r="A22" s="16" t="s">
        <v>57</v>
      </c>
      <c r="B22" s="18">
        <v>97023.320000000022</v>
      </c>
      <c r="E22" s="20" t="s">
        <v>50</v>
      </c>
      <c r="F22" s="18">
        <v>47165.539999999986</v>
      </c>
    </row>
    <row r="23" spans="1:6">
      <c r="A23" s="16" t="s">
        <v>44</v>
      </c>
      <c r="B23" s="18">
        <v>88445.340000000011</v>
      </c>
      <c r="E23" s="20" t="s">
        <v>54</v>
      </c>
      <c r="F23" s="18">
        <v>40131.49</v>
      </c>
    </row>
    <row r="24" spans="1:6">
      <c r="A24" s="16" t="s">
        <v>134</v>
      </c>
      <c r="B24" s="18">
        <v>55799.319999999992</v>
      </c>
      <c r="E24" s="20" t="s">
        <v>69</v>
      </c>
      <c r="F24" s="18">
        <v>35560.130000000005</v>
      </c>
    </row>
    <row r="25" spans="1:6">
      <c r="A25" s="16" t="s">
        <v>48</v>
      </c>
      <c r="B25" s="18">
        <v>40518.049999999996</v>
      </c>
      <c r="E25" s="20" t="s">
        <v>62</v>
      </c>
      <c r="F25" s="18">
        <v>23050.94</v>
      </c>
    </row>
    <row r="26" spans="1:6">
      <c r="A26" s="16" t="s">
        <v>94</v>
      </c>
      <c r="B26" s="18">
        <v>39706.720000000016</v>
      </c>
      <c r="E26" s="16" t="s">
        <v>817</v>
      </c>
      <c r="F26" s="18">
        <v>589545.69999999995</v>
      </c>
    </row>
    <row r="27" spans="1:6">
      <c r="A27" s="16" t="s">
        <v>65</v>
      </c>
      <c r="B27" s="18">
        <v>30776.28000000001</v>
      </c>
    </row>
    <row r="28" spans="1:6">
      <c r="A28" s="16" t="s">
        <v>35</v>
      </c>
      <c r="B28" s="18">
        <v>24573.29</v>
      </c>
    </row>
    <row r="29" spans="1:6">
      <c r="A29" s="16" t="s">
        <v>39</v>
      </c>
      <c r="B29" s="18">
        <v>10993.9</v>
      </c>
    </row>
    <row r="30" spans="1:6">
      <c r="A30" s="16" t="s">
        <v>30</v>
      </c>
      <c r="B30" s="18">
        <v>10674.820000000005</v>
      </c>
    </row>
    <row r="31" spans="1:6">
      <c r="A31" s="16" t="s">
        <v>817</v>
      </c>
      <c r="B31" s="18">
        <v>577598.79</v>
      </c>
    </row>
    <row r="35" spans="5:7">
      <c r="E35" t="s">
        <v>823</v>
      </c>
      <c r="F35" t="s">
        <v>818</v>
      </c>
      <c r="G35" t="s">
        <v>822</v>
      </c>
    </row>
    <row r="36" spans="5:7">
      <c r="E36" s="22">
        <v>3253</v>
      </c>
      <c r="F36" s="17">
        <v>589545.69999999891</v>
      </c>
      <c r="G36" s="17">
        <v>204397.09000000008</v>
      </c>
    </row>
  </sheetData>
  <pageMargins left="0.7" right="0.7" top="0.75" bottom="0.75" header="0.3" footer="0.3"/>
  <pageSetup orientation="portrait" r:id="rId5"/>
  <legacy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README.md</vt:lpstr>
      <vt:lpstr>Retail Data</vt:lpstr>
      <vt:lpstr>Dashboard</vt:lpstr>
      <vt:lpstr>PivotTables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 Gawande</dc:creator>
  <cp:lastModifiedBy>Vaishnavi Gawande</cp:lastModifiedBy>
  <dcterms:created xsi:type="dcterms:W3CDTF">2026-09-21T19:28:36Z</dcterms:created>
  <dcterms:modified xsi:type="dcterms:W3CDTF">2026-09-21T19:28:36Z</dcterms:modified>
</cp:coreProperties>
</file>